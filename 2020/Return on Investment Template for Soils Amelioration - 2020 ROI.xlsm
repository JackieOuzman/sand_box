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1.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2.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4.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5.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6.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17.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8.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workbookPr defaultThemeVersion="124226"/>
  <mc:AlternateContent xmlns:mc="http://schemas.openxmlformats.org/markup-compatibility/2006">
    <mc:Choice Requires="x15">
      <x15ac:absPath xmlns:x15ac="http://schemas.microsoft.com/office/spreadsheetml/2010/11/ac" url="L:\2014 grdc sands and paddock survey\2016 GRDC sands\economic analysis\economics for sands\"/>
    </mc:Choice>
  </mc:AlternateContent>
  <xr:revisionPtr revIDLastSave="0" documentId="8_{C20C6510-80FB-4122-9113-3463B60BBB0D}" xr6:coauthVersionLast="44" xr6:coauthVersionMax="44" xr10:uidLastSave="{00000000-0000-0000-0000-000000000000}"/>
  <bookViews>
    <workbookView xWindow="-110" yWindow="-110" windowWidth="19420" windowHeight="10420" tabRatio="869" firstSheet="15" activeTab="20" xr2:uid="{00000000-000D-0000-FFFF-FFFF00000000}"/>
  </bookViews>
  <sheets>
    <sheet name="Return on Investment Analysis" sheetId="11" r:id="rId1"/>
    <sheet name="5 year version" sheetId="15" r:id="rId2"/>
    <sheet name="ouyenM 2017-19" sheetId="16" r:id="rId3"/>
    <sheet name="Yenda rip50 17-19" sheetId="18" r:id="rId4"/>
    <sheet name="Sheet1" sheetId="30" r:id="rId5"/>
    <sheet name="Sheet2" sheetId="31" r:id="rId6"/>
    <sheet name="Bute T rip60 15-17" sheetId="17" r:id="rId7"/>
    <sheet name="ButeB rip30 18-19" sheetId="19" r:id="rId8"/>
    <sheet name="ButeB rip60 18-19" sheetId="20" r:id="rId9"/>
    <sheet name="ButeB rip inc 18-19" sheetId="21" r:id="rId10"/>
    <sheet name="Carwarp  rip30 18-19" sheetId="22" r:id="rId11"/>
    <sheet name="Carwarp rip60 18-19" sheetId="23" r:id="rId12"/>
    <sheet name="Carwarp spade 18-19" sheetId="24" r:id="rId13"/>
    <sheet name="Ouyen spade 2017-18" sheetId="25" r:id="rId14"/>
    <sheet name="Waikerie Rip 30 18-19" sheetId="26" r:id="rId15"/>
    <sheet name="Waikerie Rip 60 18-19" sheetId="27" r:id="rId16"/>
    <sheet name="Murlong rip inc 18-19" sheetId="28" r:id="rId17"/>
    <sheet name="Murlong spade 18-19" sheetId="29" r:id="rId18"/>
    <sheet name="Karoonda NH 2012-17" sheetId="32" r:id="rId19"/>
    <sheet name="Karoonda NH 500 OM" sheetId="33" r:id="rId20"/>
    <sheet name="Karoonda NH spade only" sheetId="34" r:id="rId21"/>
  </sheets>
  <definedNames>
    <definedName name="_xlnm.Print_Area" localSheetId="0">'Return on Investment Analysis'!$A$1:$N$33</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31" i="34" l="1"/>
  <c r="C27" i="34"/>
  <c r="G22" i="34"/>
  <c r="F22" i="34"/>
  <c r="E22" i="34"/>
  <c r="E24" i="34" s="1"/>
  <c r="D22" i="34"/>
  <c r="C22" i="34"/>
  <c r="M20" i="34"/>
  <c r="M19" i="34"/>
  <c r="G15" i="34"/>
  <c r="F15" i="34"/>
  <c r="E15" i="34"/>
  <c r="D15" i="34"/>
  <c r="C15" i="34"/>
  <c r="D14" i="34"/>
  <c r="C14" i="34"/>
  <c r="C16" i="34" s="1"/>
  <c r="B14" i="34"/>
  <c r="B27" i="34" s="1"/>
  <c r="G12" i="34"/>
  <c r="G14" i="34" s="1"/>
  <c r="F12" i="34"/>
  <c r="F14" i="34" s="1"/>
  <c r="F16" i="34" s="1"/>
  <c r="E12" i="34"/>
  <c r="E14" i="34" s="1"/>
  <c r="E16" i="34" s="1"/>
  <c r="D12" i="34"/>
  <c r="F30" i="34" l="1"/>
  <c r="C24" i="34"/>
  <c r="M24" i="34" s="1"/>
  <c r="E30" i="34"/>
  <c r="F24" i="34"/>
  <c r="G24" i="34"/>
  <c r="M22" i="34"/>
  <c r="D30" i="34"/>
  <c r="G28" i="34"/>
  <c r="E28" i="34"/>
  <c r="F27" i="34"/>
  <c r="G16" i="34"/>
  <c r="G27" i="34"/>
  <c r="F28" i="34"/>
  <c r="G30" i="34"/>
  <c r="D27" i="34"/>
  <c r="M34" i="34" s="1"/>
  <c r="B16" i="34"/>
  <c r="D24" i="34"/>
  <c r="E27" i="34"/>
  <c r="B30" i="34"/>
  <c r="M14" i="34"/>
  <c r="D16" i="34"/>
  <c r="C30" i="34"/>
  <c r="C28" i="34" l="1"/>
  <c r="M30" i="34"/>
  <c r="E31" i="34"/>
  <c r="M27" i="34"/>
  <c r="B28" i="34"/>
  <c r="M16" i="34"/>
  <c r="M31" i="34" s="1"/>
  <c r="C31" i="34"/>
  <c r="D31" i="34"/>
  <c r="G31" i="34"/>
  <c r="D28" i="34"/>
  <c r="F31" i="34"/>
  <c r="D29" i="34" l="1"/>
  <c r="E29" i="34" s="1"/>
  <c r="F29" i="34" s="1"/>
  <c r="G29" i="34" s="1"/>
  <c r="M32" i="34"/>
  <c r="M33" i="34"/>
  <c r="C29" i="34"/>
  <c r="B29" i="34"/>
  <c r="B40" i="34"/>
  <c r="C40" i="34" s="1"/>
  <c r="D40" i="34" s="1"/>
  <c r="E40" i="34" s="1"/>
  <c r="F40" i="34" s="1"/>
  <c r="G40" i="34" s="1"/>
  <c r="M28" i="34"/>
  <c r="B31" i="33" l="1"/>
  <c r="G22" i="33"/>
  <c r="G24" i="33" s="1"/>
  <c r="G28" i="33" s="1"/>
  <c r="F22" i="33"/>
  <c r="F24" i="33" s="1"/>
  <c r="E22" i="33"/>
  <c r="D22" i="33"/>
  <c r="D24" i="33" s="1"/>
  <c r="D28" i="33" s="1"/>
  <c r="C22" i="33"/>
  <c r="F30" i="33" s="1"/>
  <c r="M20" i="33"/>
  <c r="M19" i="33"/>
  <c r="G16" i="33"/>
  <c r="G15" i="33"/>
  <c r="F15" i="33"/>
  <c r="E15" i="33"/>
  <c r="E24" i="33" s="1"/>
  <c r="D15" i="33"/>
  <c r="C15" i="33"/>
  <c r="G14" i="33"/>
  <c r="D14" i="33"/>
  <c r="D16" i="33" s="1"/>
  <c r="C14" i="33"/>
  <c r="C16" i="33" s="1"/>
  <c r="B14" i="33"/>
  <c r="B27" i="33" s="1"/>
  <c r="G12" i="33"/>
  <c r="F12" i="33"/>
  <c r="F14" i="33" s="1"/>
  <c r="E12" i="33"/>
  <c r="E14" i="33" s="1"/>
  <c r="E16" i="33" s="1"/>
  <c r="D12" i="33"/>
  <c r="F40" i="32"/>
  <c r="G40" i="32"/>
  <c r="F15" i="32"/>
  <c r="F24" i="32" s="1"/>
  <c r="G15" i="32"/>
  <c r="F12" i="32"/>
  <c r="F14" i="32"/>
  <c r="G12" i="32"/>
  <c r="G14" i="32" s="1"/>
  <c r="B31" i="32"/>
  <c r="G22" i="32"/>
  <c r="F22" i="32"/>
  <c r="E22" i="32"/>
  <c r="E24" i="32" s="1"/>
  <c r="D22" i="32"/>
  <c r="D24" i="32" s="1"/>
  <c r="C22" i="32"/>
  <c r="C27" i="32" s="1"/>
  <c r="M20" i="32"/>
  <c r="M19" i="32"/>
  <c r="E15" i="32"/>
  <c r="D15" i="32"/>
  <c r="C15" i="32"/>
  <c r="C14" i="32"/>
  <c r="C16" i="32" s="1"/>
  <c r="B14" i="32"/>
  <c r="B27" i="32" s="1"/>
  <c r="E12" i="32"/>
  <c r="E14" i="32" s="1"/>
  <c r="E16" i="32" s="1"/>
  <c r="D12" i="32"/>
  <c r="D14" i="32" s="1"/>
  <c r="D16" i="32" s="1"/>
  <c r="M34" i="33" l="1"/>
  <c r="F16" i="33"/>
  <c r="F28" i="33" s="1"/>
  <c r="F27" i="33"/>
  <c r="E27" i="33"/>
  <c r="E28" i="33"/>
  <c r="M22" i="33"/>
  <c r="C27" i="33"/>
  <c r="M27" i="33" s="1"/>
  <c r="G30" i="33"/>
  <c r="C24" i="33"/>
  <c r="D27" i="33"/>
  <c r="B16" i="33"/>
  <c r="B30" i="33"/>
  <c r="M14" i="33"/>
  <c r="G27" i="33"/>
  <c r="C30" i="33"/>
  <c r="D30" i="33"/>
  <c r="E30" i="33"/>
  <c r="G16" i="32"/>
  <c r="G24" i="32"/>
  <c r="F16" i="32"/>
  <c r="F28" i="32" s="1"/>
  <c r="G28" i="32"/>
  <c r="C24" i="32"/>
  <c r="M24" i="32" s="1"/>
  <c r="F30" i="32"/>
  <c r="D28" i="32"/>
  <c r="E28" i="32"/>
  <c r="M22" i="32"/>
  <c r="D27" i="32"/>
  <c r="B16" i="32"/>
  <c r="E27" i="32"/>
  <c r="G30" i="32"/>
  <c r="F27" i="32"/>
  <c r="B30" i="32"/>
  <c r="G27" i="32"/>
  <c r="C30" i="32"/>
  <c r="D30" i="32"/>
  <c r="M14" i="32"/>
  <c r="E30" i="32"/>
  <c r="M30" i="33" l="1"/>
  <c r="G31" i="33"/>
  <c r="C28" i="33"/>
  <c r="F31" i="33"/>
  <c r="M24" i="33"/>
  <c r="E31" i="33"/>
  <c r="D31" i="33"/>
  <c r="C31" i="33"/>
  <c r="B28" i="33"/>
  <c r="M16" i="33"/>
  <c r="C28" i="32"/>
  <c r="E31" i="32"/>
  <c r="M30" i="32"/>
  <c r="C31" i="32"/>
  <c r="M27" i="32"/>
  <c r="M34" i="32"/>
  <c r="F31" i="32"/>
  <c r="G31" i="32"/>
  <c r="B28" i="32"/>
  <c r="M16" i="32"/>
  <c r="M31" i="32" s="1"/>
  <c r="D31" i="32"/>
  <c r="C29" i="33" l="1"/>
  <c r="D29" i="33" s="1"/>
  <c r="E29" i="33" s="1"/>
  <c r="F29" i="33" s="1"/>
  <c r="G29" i="33" s="1"/>
  <c r="B29" i="33"/>
  <c r="B40" i="33"/>
  <c r="M28" i="33"/>
  <c r="C40" i="33"/>
  <c r="D40" i="33" s="1"/>
  <c r="E40" i="33" s="1"/>
  <c r="F40" i="33" s="1"/>
  <c r="G40" i="33" s="1"/>
  <c r="M31" i="33"/>
  <c r="M33" i="33"/>
  <c r="M32" i="33"/>
  <c r="M32" i="32"/>
  <c r="C29" i="32"/>
  <c r="D29" i="32" s="1"/>
  <c r="E29" i="32" s="1"/>
  <c r="F29" i="32" s="1"/>
  <c r="G29" i="32" s="1"/>
  <c r="B29" i="32"/>
  <c r="B40" i="32"/>
  <c r="C40" i="32" s="1"/>
  <c r="D40" i="32" s="1"/>
  <c r="E40" i="32" s="1"/>
  <c r="M28" i="32"/>
  <c r="M33" i="32"/>
  <c r="B31" i="29" l="1"/>
  <c r="E27" i="29"/>
  <c r="E24" i="29"/>
  <c r="G22" i="29"/>
  <c r="G24" i="29" s="1"/>
  <c r="G28" i="29" s="1"/>
  <c r="F22" i="29"/>
  <c r="F24" i="29" s="1"/>
  <c r="E22" i="29"/>
  <c r="D22" i="29"/>
  <c r="C22" i="29"/>
  <c r="C24" i="29" s="1"/>
  <c r="M20" i="29"/>
  <c r="M19" i="29"/>
  <c r="G16" i="29"/>
  <c r="D15" i="29"/>
  <c r="C15" i="29"/>
  <c r="G14" i="29"/>
  <c r="F14" i="29"/>
  <c r="F16" i="29" s="1"/>
  <c r="E14" i="29"/>
  <c r="E16" i="29" s="1"/>
  <c r="E28" i="29" s="1"/>
  <c r="C14" i="29"/>
  <c r="C16" i="29" s="1"/>
  <c r="B14" i="29"/>
  <c r="B16" i="29" s="1"/>
  <c r="D12" i="29"/>
  <c r="D14" i="29" s="1"/>
  <c r="B31" i="28"/>
  <c r="E27" i="28"/>
  <c r="B27" i="28"/>
  <c r="G22" i="28"/>
  <c r="G24" i="28" s="1"/>
  <c r="G28" i="28" s="1"/>
  <c r="F22" i="28"/>
  <c r="F24" i="28" s="1"/>
  <c r="F28" i="28" s="1"/>
  <c r="E22" i="28"/>
  <c r="E24" i="28" s="1"/>
  <c r="D22" i="28"/>
  <c r="C22" i="28"/>
  <c r="C24" i="28" s="1"/>
  <c r="M20" i="28"/>
  <c r="M19" i="28"/>
  <c r="G16" i="28"/>
  <c r="D15" i="28"/>
  <c r="C15" i="28"/>
  <c r="G14" i="28"/>
  <c r="F14" i="28"/>
  <c r="F16" i="28" s="1"/>
  <c r="E14" i="28"/>
  <c r="E16" i="28" s="1"/>
  <c r="C14" i="28"/>
  <c r="C16" i="28" s="1"/>
  <c r="B14" i="28"/>
  <c r="B30" i="28" s="1"/>
  <c r="D12" i="28"/>
  <c r="D14" i="28" s="1"/>
  <c r="B31" i="27"/>
  <c r="E27" i="27"/>
  <c r="E24" i="27"/>
  <c r="E28" i="27" s="1"/>
  <c r="G22" i="27"/>
  <c r="G24" i="27" s="1"/>
  <c r="G28" i="27" s="1"/>
  <c r="F22" i="27"/>
  <c r="F24" i="27" s="1"/>
  <c r="F28" i="27" s="1"/>
  <c r="E22" i="27"/>
  <c r="D22" i="27"/>
  <c r="D24" i="27" s="1"/>
  <c r="C22" i="27"/>
  <c r="M20" i="27"/>
  <c r="M19" i="27"/>
  <c r="F16" i="27"/>
  <c r="D15" i="27"/>
  <c r="C15" i="27"/>
  <c r="G14" i="27"/>
  <c r="G16" i="27" s="1"/>
  <c r="F14" i="27"/>
  <c r="E14" i="27"/>
  <c r="E16" i="27" s="1"/>
  <c r="C14" i="27"/>
  <c r="C16" i="27" s="1"/>
  <c r="B14" i="27"/>
  <c r="B30" i="27" s="1"/>
  <c r="D12" i="27"/>
  <c r="D14" i="27" s="1"/>
  <c r="D16" i="27" s="1"/>
  <c r="B31" i="26"/>
  <c r="B27" i="26"/>
  <c r="G22" i="26"/>
  <c r="G24" i="26" s="1"/>
  <c r="G28" i="26" s="1"/>
  <c r="F22" i="26"/>
  <c r="F24" i="26" s="1"/>
  <c r="E22" i="26"/>
  <c r="E24" i="26" s="1"/>
  <c r="E28" i="26" s="1"/>
  <c r="D22" i="26"/>
  <c r="D24" i="26" s="1"/>
  <c r="C22" i="26"/>
  <c r="M20" i="26"/>
  <c r="M19" i="26"/>
  <c r="G16" i="26"/>
  <c r="E16" i="26"/>
  <c r="D15" i="26"/>
  <c r="C15" i="26"/>
  <c r="G14" i="26"/>
  <c r="F14" i="26"/>
  <c r="F16" i="26" s="1"/>
  <c r="E14" i="26"/>
  <c r="C14" i="26"/>
  <c r="C16" i="26" s="1"/>
  <c r="B14" i="26"/>
  <c r="D12" i="26"/>
  <c r="D14" i="26" s="1"/>
  <c r="B31" i="25"/>
  <c r="F27" i="25"/>
  <c r="E27" i="25"/>
  <c r="B27" i="25"/>
  <c r="E24" i="25"/>
  <c r="G22" i="25"/>
  <c r="F22" i="25"/>
  <c r="F24" i="25" s="1"/>
  <c r="F28" i="25" s="1"/>
  <c r="E22" i="25"/>
  <c r="D22" i="25"/>
  <c r="C22" i="25"/>
  <c r="C27" i="25" s="1"/>
  <c r="M20" i="25"/>
  <c r="M19" i="25"/>
  <c r="G16" i="25"/>
  <c r="C16" i="25"/>
  <c r="D15" i="25"/>
  <c r="C15" i="25"/>
  <c r="G14" i="25"/>
  <c r="F14" i="25"/>
  <c r="F16" i="25" s="1"/>
  <c r="E14" i="25"/>
  <c r="E16" i="25" s="1"/>
  <c r="E28" i="25" s="1"/>
  <c r="C14" i="25"/>
  <c r="B14" i="25"/>
  <c r="B16" i="25" s="1"/>
  <c r="D12" i="25"/>
  <c r="D14" i="25" s="1"/>
  <c r="B31" i="24"/>
  <c r="E27" i="24"/>
  <c r="G24" i="24"/>
  <c r="G22" i="24"/>
  <c r="G27" i="24" s="1"/>
  <c r="F22" i="24"/>
  <c r="F24" i="24" s="1"/>
  <c r="F28" i="24" s="1"/>
  <c r="E22" i="24"/>
  <c r="E24" i="24" s="1"/>
  <c r="E28" i="24" s="1"/>
  <c r="D22" i="24"/>
  <c r="C22" i="24"/>
  <c r="C24" i="24" s="1"/>
  <c r="M20" i="24"/>
  <c r="M19" i="24"/>
  <c r="F16" i="24"/>
  <c r="E16" i="24"/>
  <c r="D15" i="24"/>
  <c r="D24" i="24" s="1"/>
  <c r="C15" i="24"/>
  <c r="G14" i="24"/>
  <c r="G16" i="24" s="1"/>
  <c r="F14" i="24"/>
  <c r="E14" i="24"/>
  <c r="C14" i="24"/>
  <c r="C16" i="24" s="1"/>
  <c r="B14" i="24"/>
  <c r="B30" i="24" s="1"/>
  <c r="D12" i="24"/>
  <c r="D14" i="24" s="1"/>
  <c r="B31" i="23"/>
  <c r="F27" i="23"/>
  <c r="E27" i="23"/>
  <c r="B27" i="23"/>
  <c r="E24" i="23"/>
  <c r="C24" i="23"/>
  <c r="G22" i="23"/>
  <c r="G24" i="23" s="1"/>
  <c r="G28" i="23" s="1"/>
  <c r="F22" i="23"/>
  <c r="F24" i="23" s="1"/>
  <c r="E22" i="23"/>
  <c r="D22" i="23"/>
  <c r="C22" i="23"/>
  <c r="M20" i="23"/>
  <c r="M19" i="23"/>
  <c r="G16" i="23"/>
  <c r="D15" i="23"/>
  <c r="D24" i="23" s="1"/>
  <c r="C15" i="23"/>
  <c r="G14" i="23"/>
  <c r="F14" i="23"/>
  <c r="F16" i="23" s="1"/>
  <c r="E14" i="23"/>
  <c r="E16" i="23" s="1"/>
  <c r="E28" i="23" s="1"/>
  <c r="C14" i="23"/>
  <c r="C16" i="23" s="1"/>
  <c r="B14" i="23"/>
  <c r="B30" i="23" s="1"/>
  <c r="D12" i="23"/>
  <c r="D14" i="23" s="1"/>
  <c r="B31" i="22"/>
  <c r="G24" i="22"/>
  <c r="D24" i="22"/>
  <c r="G22" i="22"/>
  <c r="G27" i="22" s="1"/>
  <c r="F22" i="22"/>
  <c r="F24" i="22" s="1"/>
  <c r="F28" i="22" s="1"/>
  <c r="E22" i="22"/>
  <c r="E27" i="22" s="1"/>
  <c r="D22" i="22"/>
  <c r="C22" i="22"/>
  <c r="C30" i="22" s="1"/>
  <c r="M20" i="22"/>
  <c r="M19" i="22"/>
  <c r="E16" i="22"/>
  <c r="D15" i="22"/>
  <c r="C15" i="22"/>
  <c r="G14" i="22"/>
  <c r="G16" i="22" s="1"/>
  <c r="F14" i="22"/>
  <c r="F16" i="22" s="1"/>
  <c r="E14" i="22"/>
  <c r="C14" i="22"/>
  <c r="C16" i="22" s="1"/>
  <c r="B14" i="22"/>
  <c r="B27" i="22" s="1"/>
  <c r="D12" i="22"/>
  <c r="D14" i="22" s="1"/>
  <c r="D16" i="22" s="1"/>
  <c r="B31" i="21"/>
  <c r="B30" i="21"/>
  <c r="E27" i="21"/>
  <c r="E24" i="21"/>
  <c r="E28" i="21" s="1"/>
  <c r="D24" i="21"/>
  <c r="G22" i="21"/>
  <c r="G24" i="21" s="1"/>
  <c r="F22" i="21"/>
  <c r="F24" i="21" s="1"/>
  <c r="F28" i="21" s="1"/>
  <c r="E22" i="21"/>
  <c r="D22" i="21"/>
  <c r="C22" i="21"/>
  <c r="M20" i="21"/>
  <c r="M19" i="21"/>
  <c r="F16" i="21"/>
  <c r="D15" i="21"/>
  <c r="C15" i="21"/>
  <c r="G14" i="21"/>
  <c r="G16" i="21" s="1"/>
  <c r="F14" i="21"/>
  <c r="E14" i="21"/>
  <c r="E16" i="21" s="1"/>
  <c r="C14" i="21"/>
  <c r="C16" i="21" s="1"/>
  <c r="B14" i="21"/>
  <c r="B27" i="21" s="1"/>
  <c r="D12" i="21"/>
  <c r="D14" i="21" s="1"/>
  <c r="D16" i="21" s="1"/>
  <c r="B31" i="20"/>
  <c r="F27" i="20"/>
  <c r="E27" i="20"/>
  <c r="C27" i="20"/>
  <c r="E24" i="20"/>
  <c r="G22" i="20"/>
  <c r="F22" i="20"/>
  <c r="F24" i="20" s="1"/>
  <c r="E22" i="20"/>
  <c r="D22" i="20"/>
  <c r="C22" i="20"/>
  <c r="M20" i="20"/>
  <c r="M19" i="20"/>
  <c r="G16" i="20"/>
  <c r="D15" i="20"/>
  <c r="D24" i="20" s="1"/>
  <c r="C15" i="20"/>
  <c r="C24" i="20" s="1"/>
  <c r="G14" i="20"/>
  <c r="F14" i="20"/>
  <c r="F16" i="20" s="1"/>
  <c r="E14" i="20"/>
  <c r="E16" i="20" s="1"/>
  <c r="E28" i="20" s="1"/>
  <c r="C14" i="20"/>
  <c r="C16" i="20" s="1"/>
  <c r="B14" i="20"/>
  <c r="B30" i="20" s="1"/>
  <c r="D12" i="20"/>
  <c r="D14" i="20" s="1"/>
  <c r="B31" i="19"/>
  <c r="F27" i="19"/>
  <c r="G22" i="19"/>
  <c r="G24" i="19" s="1"/>
  <c r="G28" i="19" s="1"/>
  <c r="F22" i="19"/>
  <c r="F24" i="19" s="1"/>
  <c r="E22" i="19"/>
  <c r="E24" i="19" s="1"/>
  <c r="D22" i="19"/>
  <c r="C22" i="19"/>
  <c r="C27" i="19" s="1"/>
  <c r="M20" i="19"/>
  <c r="M19" i="19"/>
  <c r="G16" i="19"/>
  <c r="D15" i="19"/>
  <c r="C15" i="19"/>
  <c r="G14" i="19"/>
  <c r="F14" i="19"/>
  <c r="F16" i="19" s="1"/>
  <c r="C14" i="19"/>
  <c r="C16" i="19" s="1"/>
  <c r="B14" i="19"/>
  <c r="B27" i="19" s="1"/>
  <c r="E14" i="19"/>
  <c r="D12" i="19"/>
  <c r="D14" i="19" s="1"/>
  <c r="B31" i="17"/>
  <c r="G24" i="17"/>
  <c r="F24" i="17"/>
  <c r="G22" i="17"/>
  <c r="F22" i="17"/>
  <c r="F27" i="17" s="1"/>
  <c r="E22" i="17"/>
  <c r="E24" i="17" s="1"/>
  <c r="D22" i="17"/>
  <c r="D24" i="17" s="1"/>
  <c r="C22" i="17"/>
  <c r="C24" i="17" s="1"/>
  <c r="M20" i="17"/>
  <c r="M19" i="17"/>
  <c r="E15" i="17"/>
  <c r="D15" i="17"/>
  <c r="C15" i="17"/>
  <c r="C16" i="17" s="1"/>
  <c r="G14" i="17"/>
  <c r="G27" i="17" s="1"/>
  <c r="F14" i="17"/>
  <c r="F16" i="17" s="1"/>
  <c r="C14" i="17"/>
  <c r="B14" i="17"/>
  <c r="B27" i="17" s="1"/>
  <c r="E12" i="17"/>
  <c r="E14" i="17" s="1"/>
  <c r="E16" i="17" s="1"/>
  <c r="D12" i="17"/>
  <c r="D14" i="17" s="1"/>
  <c r="D16" i="17" s="1"/>
  <c r="B31" i="18"/>
  <c r="B30" i="18"/>
  <c r="G27" i="18"/>
  <c r="G24" i="18"/>
  <c r="F24" i="18"/>
  <c r="G22" i="18"/>
  <c r="F22" i="18"/>
  <c r="E22" i="18"/>
  <c r="E24" i="18" s="1"/>
  <c r="D22" i="18"/>
  <c r="D24" i="18" s="1"/>
  <c r="C22" i="18"/>
  <c r="C30" i="18" s="1"/>
  <c r="M20" i="18"/>
  <c r="M19" i="18"/>
  <c r="C16" i="18"/>
  <c r="E15" i="18"/>
  <c r="D15" i="18"/>
  <c r="C15" i="18"/>
  <c r="G14" i="18"/>
  <c r="G16" i="18" s="1"/>
  <c r="F14" i="18"/>
  <c r="F27" i="18" s="1"/>
  <c r="C14" i="18"/>
  <c r="B14" i="18"/>
  <c r="B27" i="18" s="1"/>
  <c r="E12" i="18"/>
  <c r="E14" i="18" s="1"/>
  <c r="E16" i="18" s="1"/>
  <c r="D12" i="18"/>
  <c r="D14" i="18" s="1"/>
  <c r="E12" i="15"/>
  <c r="F12" i="15"/>
  <c r="G12" i="15"/>
  <c r="D12" i="15"/>
  <c r="L12" i="11"/>
  <c r="K12" i="11"/>
  <c r="J12" i="11"/>
  <c r="I12" i="11"/>
  <c r="H12" i="11"/>
  <c r="G12" i="11"/>
  <c r="F12" i="11"/>
  <c r="E12" i="11"/>
  <c r="D12" i="11"/>
  <c r="D12" i="16"/>
  <c r="E12" i="16"/>
  <c r="E15" i="16"/>
  <c r="B30" i="22" l="1"/>
  <c r="B16" i="22"/>
  <c r="B16" i="21"/>
  <c r="M16" i="21" s="1"/>
  <c r="B30" i="17"/>
  <c r="D24" i="29"/>
  <c r="M24" i="29" s="1"/>
  <c r="D16" i="29"/>
  <c r="D28" i="29" s="1"/>
  <c r="D27" i="29"/>
  <c r="E30" i="29"/>
  <c r="F28" i="29"/>
  <c r="B28" i="29"/>
  <c r="M16" i="29"/>
  <c r="M14" i="29"/>
  <c r="B27" i="29"/>
  <c r="C28" i="29"/>
  <c r="F30" i="29"/>
  <c r="G31" i="29"/>
  <c r="M22" i="29"/>
  <c r="C27" i="29"/>
  <c r="G30" i="29"/>
  <c r="F27" i="29"/>
  <c r="B30" i="29"/>
  <c r="C31" i="29"/>
  <c r="G27" i="29"/>
  <c r="C30" i="29"/>
  <c r="D31" i="29"/>
  <c r="D30" i="29"/>
  <c r="D24" i="28"/>
  <c r="E31" i="28" s="1"/>
  <c r="C28" i="28"/>
  <c r="E30" i="28"/>
  <c r="E28" i="28"/>
  <c r="D16" i="28"/>
  <c r="D27" i="28"/>
  <c r="M34" i="28" s="1"/>
  <c r="F30" i="28"/>
  <c r="M14" i="28"/>
  <c r="M22" i="28"/>
  <c r="C27" i="28"/>
  <c r="G30" i="28"/>
  <c r="B16" i="28"/>
  <c r="F27" i="28"/>
  <c r="C31" i="28"/>
  <c r="G27" i="28"/>
  <c r="C30" i="28"/>
  <c r="D30" i="28"/>
  <c r="D27" i="27"/>
  <c r="B16" i="27"/>
  <c r="B27" i="27"/>
  <c r="D30" i="27"/>
  <c r="D28" i="27"/>
  <c r="E30" i="27"/>
  <c r="M14" i="27"/>
  <c r="F30" i="27"/>
  <c r="M22" i="27"/>
  <c r="C27" i="27"/>
  <c r="G30" i="27"/>
  <c r="C24" i="27"/>
  <c r="G27" i="27"/>
  <c r="F27" i="27"/>
  <c r="C30" i="27"/>
  <c r="C24" i="26"/>
  <c r="C28" i="26" s="1"/>
  <c r="D30" i="26"/>
  <c r="B16" i="26"/>
  <c r="B28" i="26" s="1"/>
  <c r="B29" i="26" s="1"/>
  <c r="E30" i="26"/>
  <c r="F30" i="26"/>
  <c r="D16" i="26"/>
  <c r="D28" i="26" s="1"/>
  <c r="D27" i="26"/>
  <c r="M14" i="26"/>
  <c r="F28" i="26"/>
  <c r="M22" i="26"/>
  <c r="C27" i="26"/>
  <c r="G30" i="26"/>
  <c r="E27" i="26"/>
  <c r="F27" i="26"/>
  <c r="B30" i="26"/>
  <c r="G27" i="26"/>
  <c r="C30" i="26"/>
  <c r="D24" i="25"/>
  <c r="M22" i="25"/>
  <c r="C24" i="25"/>
  <c r="D31" i="25" s="1"/>
  <c r="M14" i="25"/>
  <c r="D16" i="25"/>
  <c r="M16" i="25" s="1"/>
  <c r="D27" i="25"/>
  <c r="M27" i="25" s="1"/>
  <c r="F30" i="25"/>
  <c r="C31" i="25"/>
  <c r="C28" i="25"/>
  <c r="B28" i="25"/>
  <c r="E30" i="25"/>
  <c r="G27" i="25"/>
  <c r="C30" i="25"/>
  <c r="G30" i="25"/>
  <c r="B30" i="25"/>
  <c r="G24" i="25"/>
  <c r="G28" i="25" s="1"/>
  <c r="D30" i="25"/>
  <c r="D16" i="24"/>
  <c r="D27" i="24"/>
  <c r="D28" i="24"/>
  <c r="D30" i="24"/>
  <c r="G28" i="24"/>
  <c r="B16" i="24"/>
  <c r="G31" i="24" s="1"/>
  <c r="M24" i="24"/>
  <c r="E30" i="24"/>
  <c r="M14" i="24"/>
  <c r="B27" i="24"/>
  <c r="C28" i="24"/>
  <c r="F30" i="24"/>
  <c r="M22" i="24"/>
  <c r="C27" i="24"/>
  <c r="G30" i="24"/>
  <c r="F27" i="24"/>
  <c r="C30" i="24"/>
  <c r="C28" i="23"/>
  <c r="F28" i="23"/>
  <c r="D27" i="23"/>
  <c r="D16" i="23"/>
  <c r="D28" i="23" s="1"/>
  <c r="M14" i="23"/>
  <c r="E30" i="23"/>
  <c r="F30" i="23"/>
  <c r="M22" i="23"/>
  <c r="C27" i="23"/>
  <c r="M27" i="23" s="1"/>
  <c r="G30" i="23"/>
  <c r="B16" i="23"/>
  <c r="F31" i="23" s="1"/>
  <c r="M34" i="23"/>
  <c r="G27" i="23"/>
  <c r="C30" i="23"/>
  <c r="D30" i="23"/>
  <c r="M24" i="23"/>
  <c r="D28" i="22"/>
  <c r="D27" i="22"/>
  <c r="D30" i="22"/>
  <c r="M16" i="22"/>
  <c r="G28" i="22"/>
  <c r="B28" i="22"/>
  <c r="E30" i="22"/>
  <c r="M14" i="22"/>
  <c r="F30" i="22"/>
  <c r="M22" i="22"/>
  <c r="C27" i="22"/>
  <c r="G30" i="22"/>
  <c r="C24" i="22"/>
  <c r="E24" i="22"/>
  <c r="E28" i="22" s="1"/>
  <c r="F27" i="22"/>
  <c r="D30" i="21"/>
  <c r="D27" i="21"/>
  <c r="G28" i="21"/>
  <c r="D28" i="21"/>
  <c r="E30" i="21"/>
  <c r="M14" i="21"/>
  <c r="F30" i="21"/>
  <c r="M22" i="21"/>
  <c r="C27" i="21"/>
  <c r="G30" i="21"/>
  <c r="C24" i="21"/>
  <c r="F27" i="21"/>
  <c r="G27" i="21"/>
  <c r="C30" i="21"/>
  <c r="B27" i="20"/>
  <c r="M22" i="20"/>
  <c r="M24" i="20"/>
  <c r="C28" i="20"/>
  <c r="F28" i="20"/>
  <c r="F30" i="20"/>
  <c r="M14" i="20"/>
  <c r="D16" i="20"/>
  <c r="D27" i="20"/>
  <c r="M34" i="20" s="1"/>
  <c r="E30" i="20"/>
  <c r="G30" i="20"/>
  <c r="G27" i="20"/>
  <c r="C30" i="20"/>
  <c r="B16" i="20"/>
  <c r="E31" i="20" s="1"/>
  <c r="G24" i="20"/>
  <c r="G28" i="20" s="1"/>
  <c r="D30" i="20"/>
  <c r="D24" i="19"/>
  <c r="C24" i="19"/>
  <c r="D16" i="19"/>
  <c r="D28" i="19" s="1"/>
  <c r="D27" i="19"/>
  <c r="M27" i="19" s="1"/>
  <c r="E30" i="19"/>
  <c r="M24" i="19"/>
  <c r="C28" i="19"/>
  <c r="F28" i="19"/>
  <c r="E16" i="19"/>
  <c r="E27" i="19"/>
  <c r="F30" i="19"/>
  <c r="E28" i="19"/>
  <c r="M14" i="19"/>
  <c r="B16" i="19"/>
  <c r="F31" i="19" s="1"/>
  <c r="M22" i="19"/>
  <c r="G30" i="19"/>
  <c r="G27" i="19"/>
  <c r="C30" i="19"/>
  <c r="B30" i="19"/>
  <c r="D30" i="19"/>
  <c r="B16" i="17"/>
  <c r="B28" i="17" s="1"/>
  <c r="B29" i="17" s="1"/>
  <c r="E28" i="17"/>
  <c r="M14" i="17"/>
  <c r="C30" i="17"/>
  <c r="D28" i="17"/>
  <c r="B40" i="17"/>
  <c r="F28" i="17"/>
  <c r="D31" i="17"/>
  <c r="C31" i="17"/>
  <c r="M24" i="17"/>
  <c r="E31" i="17"/>
  <c r="C28" i="17"/>
  <c r="F31" i="17"/>
  <c r="D30" i="17"/>
  <c r="F30" i="17"/>
  <c r="M22" i="17"/>
  <c r="C27" i="17"/>
  <c r="G30" i="17"/>
  <c r="E30" i="17"/>
  <c r="G16" i="17"/>
  <c r="G31" i="17" s="1"/>
  <c r="D27" i="17"/>
  <c r="E27" i="17"/>
  <c r="E28" i="18"/>
  <c r="F30" i="18"/>
  <c r="M14" i="18"/>
  <c r="D16" i="18"/>
  <c r="G28" i="18"/>
  <c r="D28" i="18"/>
  <c r="M22" i="18"/>
  <c r="C27" i="18"/>
  <c r="G30" i="18"/>
  <c r="C24" i="18"/>
  <c r="D27" i="18"/>
  <c r="F16" i="18"/>
  <c r="F28" i="18" s="1"/>
  <c r="E30" i="18"/>
  <c r="B16" i="18"/>
  <c r="E27" i="18"/>
  <c r="D30" i="18"/>
  <c r="B28" i="21" l="1"/>
  <c r="B29" i="21" s="1"/>
  <c r="M30" i="20"/>
  <c r="F31" i="20"/>
  <c r="E31" i="29"/>
  <c r="F31" i="29"/>
  <c r="M27" i="29"/>
  <c r="M34" i="29"/>
  <c r="M32" i="29"/>
  <c r="M33" i="29"/>
  <c r="M31" i="29"/>
  <c r="M30" i="29"/>
  <c r="C29" i="29"/>
  <c r="D29" i="29" s="1"/>
  <c r="E29" i="29" s="1"/>
  <c r="F29" i="29" s="1"/>
  <c r="G29" i="29" s="1"/>
  <c r="B29" i="29"/>
  <c r="B40" i="29"/>
  <c r="C40" i="29" s="1"/>
  <c r="D40" i="29" s="1"/>
  <c r="E40" i="29" s="1"/>
  <c r="M28" i="29"/>
  <c r="D28" i="28"/>
  <c r="M24" i="28"/>
  <c r="M33" i="28" s="1"/>
  <c r="M27" i="28"/>
  <c r="B28" i="28"/>
  <c r="M16" i="28"/>
  <c r="D31" i="28"/>
  <c r="M30" i="28"/>
  <c r="F31" i="28"/>
  <c r="G31" i="28"/>
  <c r="M34" i="27"/>
  <c r="M16" i="27"/>
  <c r="B28" i="27"/>
  <c r="M27" i="27"/>
  <c r="E31" i="27"/>
  <c r="D31" i="27"/>
  <c r="C31" i="27"/>
  <c r="G31" i="27"/>
  <c r="C28" i="27"/>
  <c r="F31" i="27"/>
  <c r="M24" i="27"/>
  <c r="M30" i="27"/>
  <c r="M34" i="26"/>
  <c r="M24" i="26"/>
  <c r="M30" i="26"/>
  <c r="F31" i="26"/>
  <c r="M16" i="26"/>
  <c r="B40" i="26"/>
  <c r="G31" i="26"/>
  <c r="C40" i="26"/>
  <c r="D40" i="26" s="1"/>
  <c r="E40" i="26" s="1"/>
  <c r="C31" i="26"/>
  <c r="M28" i="26"/>
  <c r="M27" i="26"/>
  <c r="D31" i="26"/>
  <c r="C29" i="26"/>
  <c r="D29" i="26" s="1"/>
  <c r="E29" i="26" s="1"/>
  <c r="F29" i="26" s="1"/>
  <c r="G29" i="26" s="1"/>
  <c r="E31" i="26"/>
  <c r="M30" i="25"/>
  <c r="F31" i="25"/>
  <c r="E31" i="25"/>
  <c r="M34" i="25"/>
  <c r="D28" i="25"/>
  <c r="M28" i="25" s="1"/>
  <c r="M24" i="25"/>
  <c r="C29" i="25"/>
  <c r="B29" i="25"/>
  <c r="B40" i="25"/>
  <c r="C40" i="25"/>
  <c r="G31" i="25"/>
  <c r="M30" i="24"/>
  <c r="M16" i="24"/>
  <c r="M33" i="24" s="1"/>
  <c r="B28" i="24"/>
  <c r="D31" i="24"/>
  <c r="E31" i="24"/>
  <c r="C31" i="24"/>
  <c r="M27" i="24"/>
  <c r="M34" i="24"/>
  <c r="F31" i="24"/>
  <c r="E31" i="23"/>
  <c r="D31" i="23"/>
  <c r="M30" i="23"/>
  <c r="B28" i="23"/>
  <c r="M16" i="23"/>
  <c r="M32" i="23" s="1"/>
  <c r="G31" i="23"/>
  <c r="C31" i="23"/>
  <c r="B40" i="22"/>
  <c r="B29" i="22"/>
  <c r="M24" i="22"/>
  <c r="D31" i="22"/>
  <c r="C31" i="22"/>
  <c r="G31" i="22"/>
  <c r="C28" i="22"/>
  <c r="F31" i="22"/>
  <c r="E31" i="22"/>
  <c r="M27" i="22"/>
  <c r="M30" i="22"/>
  <c r="M34" i="22"/>
  <c r="M34" i="21"/>
  <c r="M27" i="21"/>
  <c r="E31" i="21"/>
  <c r="D31" i="21"/>
  <c r="C31" i="21"/>
  <c r="G31" i="21"/>
  <c r="C28" i="21"/>
  <c r="C29" i="21" s="1"/>
  <c r="D29" i="21" s="1"/>
  <c r="E29" i="21" s="1"/>
  <c r="F29" i="21" s="1"/>
  <c r="G29" i="21" s="1"/>
  <c r="F31" i="21"/>
  <c r="M24" i="21"/>
  <c r="M30" i="21"/>
  <c r="D28" i="20"/>
  <c r="B28" i="20"/>
  <c r="M16" i="20"/>
  <c r="M31" i="20" s="1"/>
  <c r="M27" i="20"/>
  <c r="D31" i="20"/>
  <c r="M33" i="20"/>
  <c r="G31" i="20"/>
  <c r="C31" i="20"/>
  <c r="M34" i="19"/>
  <c r="B28" i="19"/>
  <c r="M16" i="19"/>
  <c r="M31" i="19" s="1"/>
  <c r="E31" i="19"/>
  <c r="G31" i="19"/>
  <c r="D31" i="19"/>
  <c r="M30" i="19"/>
  <c r="C31" i="19"/>
  <c r="M30" i="17"/>
  <c r="M27" i="17"/>
  <c r="M34" i="17"/>
  <c r="G28" i="17"/>
  <c r="M16" i="17"/>
  <c r="M33" i="17" s="1"/>
  <c r="C40" i="17"/>
  <c r="D40" i="17" s="1"/>
  <c r="E40" i="17" s="1"/>
  <c r="C29" i="17"/>
  <c r="D29" i="17" s="1"/>
  <c r="E29" i="17" s="1"/>
  <c r="F29" i="17" s="1"/>
  <c r="M34" i="18"/>
  <c r="M30" i="18"/>
  <c r="M27" i="18"/>
  <c r="B28" i="18"/>
  <c r="M16" i="18"/>
  <c r="G31" i="18"/>
  <c r="C28" i="18"/>
  <c r="D31" i="18"/>
  <c r="C31" i="18"/>
  <c r="E31" i="18"/>
  <c r="M24" i="18"/>
  <c r="F31" i="18"/>
  <c r="C40" i="22" l="1"/>
  <c r="D40" i="22" s="1"/>
  <c r="E40" i="22" s="1"/>
  <c r="B40" i="21"/>
  <c r="C40" i="21" s="1"/>
  <c r="D40" i="21" s="1"/>
  <c r="E40" i="21" s="1"/>
  <c r="M32" i="20"/>
  <c r="M32" i="28"/>
  <c r="C29" i="28"/>
  <c r="D29" i="28" s="1"/>
  <c r="E29" i="28" s="1"/>
  <c r="F29" i="28" s="1"/>
  <c r="G29" i="28" s="1"/>
  <c r="B29" i="28"/>
  <c r="B40" i="28"/>
  <c r="C40" i="28" s="1"/>
  <c r="D40" i="28" s="1"/>
  <c r="E40" i="28" s="1"/>
  <c r="M28" i="28"/>
  <c r="M31" i="28"/>
  <c r="B29" i="27"/>
  <c r="B40" i="27"/>
  <c r="C40" i="27" s="1"/>
  <c r="D40" i="27" s="1"/>
  <c r="E40" i="27" s="1"/>
  <c r="M33" i="27"/>
  <c r="M32" i="27"/>
  <c r="M31" i="27"/>
  <c r="M28" i="27"/>
  <c r="C29" i="27"/>
  <c r="D29" i="27" s="1"/>
  <c r="E29" i="27" s="1"/>
  <c r="F29" i="27" s="1"/>
  <c r="G29" i="27" s="1"/>
  <c r="M31" i="26"/>
  <c r="M33" i="26"/>
  <c r="M32" i="26"/>
  <c r="D29" i="25"/>
  <c r="E29" i="25" s="1"/>
  <c r="F29" i="25" s="1"/>
  <c r="G29" i="25" s="1"/>
  <c r="D40" i="25"/>
  <c r="E40" i="25" s="1"/>
  <c r="M31" i="25"/>
  <c r="M33" i="25"/>
  <c r="M32" i="25"/>
  <c r="B29" i="24"/>
  <c r="B40" i="24"/>
  <c r="C40" i="24" s="1"/>
  <c r="D40" i="24" s="1"/>
  <c r="E40" i="24" s="1"/>
  <c r="M28" i="24"/>
  <c r="C29" i="24"/>
  <c r="D29" i="24" s="1"/>
  <c r="E29" i="24" s="1"/>
  <c r="F29" i="24" s="1"/>
  <c r="G29" i="24" s="1"/>
  <c r="M31" i="24"/>
  <c r="M32" i="24"/>
  <c r="M31" i="23"/>
  <c r="M33" i="23"/>
  <c r="C29" i="23"/>
  <c r="D29" i="23" s="1"/>
  <c r="E29" i="23" s="1"/>
  <c r="F29" i="23" s="1"/>
  <c r="G29" i="23" s="1"/>
  <c r="B29" i="23"/>
  <c r="B40" i="23"/>
  <c r="C40" i="23" s="1"/>
  <c r="D40" i="23" s="1"/>
  <c r="E40" i="23" s="1"/>
  <c r="M28" i="23"/>
  <c r="C29" i="22"/>
  <c r="D29" i="22" s="1"/>
  <c r="E29" i="22" s="1"/>
  <c r="F29" i="22" s="1"/>
  <c r="G29" i="22" s="1"/>
  <c r="M28" i="22"/>
  <c r="M33" i="22"/>
  <c r="M32" i="22"/>
  <c r="M31" i="22"/>
  <c r="M28" i="21"/>
  <c r="M33" i="21"/>
  <c r="M32" i="21"/>
  <c r="M31" i="21"/>
  <c r="C29" i="20"/>
  <c r="D29" i="20" s="1"/>
  <c r="E29" i="20" s="1"/>
  <c r="F29" i="20" s="1"/>
  <c r="G29" i="20" s="1"/>
  <c r="B29" i="20"/>
  <c r="B40" i="20"/>
  <c r="C40" i="20" s="1"/>
  <c r="D40" i="20" s="1"/>
  <c r="E40" i="20" s="1"/>
  <c r="M28" i="20"/>
  <c r="M32" i="19"/>
  <c r="M33" i="19"/>
  <c r="C29" i="19"/>
  <c r="D29" i="19" s="1"/>
  <c r="E29" i="19" s="1"/>
  <c r="F29" i="19" s="1"/>
  <c r="G29" i="19" s="1"/>
  <c r="B29" i="19"/>
  <c r="B40" i="19"/>
  <c r="C40" i="19" s="1"/>
  <c r="D40" i="19" s="1"/>
  <c r="E40" i="19" s="1"/>
  <c r="M28" i="19"/>
  <c r="M32" i="17"/>
  <c r="M31" i="17"/>
  <c r="G29" i="17"/>
  <c r="M28" i="17"/>
  <c r="M33" i="18"/>
  <c r="M32" i="18"/>
  <c r="M31" i="18"/>
  <c r="B40" i="18"/>
  <c r="C40" i="18" s="1"/>
  <c r="D40" i="18" s="1"/>
  <c r="E40" i="18" s="1"/>
  <c r="M28" i="18"/>
  <c r="B29" i="18"/>
  <c r="C29" i="18"/>
  <c r="D29" i="18" s="1"/>
  <c r="E29" i="18" s="1"/>
  <c r="F29" i="18" s="1"/>
  <c r="G29" i="18" s="1"/>
  <c r="B31" i="16" l="1"/>
  <c r="G22" i="16"/>
  <c r="G24" i="16" s="1"/>
  <c r="F22" i="16"/>
  <c r="F24" i="16" s="1"/>
  <c r="E22" i="16"/>
  <c r="D22" i="16"/>
  <c r="C22" i="16"/>
  <c r="M20" i="16"/>
  <c r="M19" i="16"/>
  <c r="D15" i="16"/>
  <c r="C15" i="16"/>
  <c r="G14" i="16"/>
  <c r="G16" i="16" s="1"/>
  <c r="F14" i="16"/>
  <c r="F16" i="16" s="1"/>
  <c r="E14" i="16"/>
  <c r="E16" i="16" s="1"/>
  <c r="D14" i="16"/>
  <c r="C14" i="16"/>
  <c r="C16" i="16" s="1"/>
  <c r="B14" i="16"/>
  <c r="B16" i="16" s="1"/>
  <c r="F30" i="16" l="1"/>
  <c r="G30" i="16"/>
  <c r="D16" i="16"/>
  <c r="E27" i="16"/>
  <c r="E24" i="16"/>
  <c r="E28" i="16" s="1"/>
  <c r="D24" i="16"/>
  <c r="D27" i="16"/>
  <c r="D30" i="16"/>
  <c r="G28" i="16"/>
  <c r="B28" i="16"/>
  <c r="F28" i="16"/>
  <c r="B27" i="16"/>
  <c r="F27" i="16"/>
  <c r="B30" i="16"/>
  <c r="E30" i="16"/>
  <c r="M14" i="16"/>
  <c r="M22" i="16"/>
  <c r="C27" i="16"/>
  <c r="G27" i="16"/>
  <c r="C30" i="16"/>
  <c r="C24" i="16"/>
  <c r="M16" i="16" l="1"/>
  <c r="G31" i="16"/>
  <c r="F31" i="16"/>
  <c r="D28" i="16"/>
  <c r="M30" i="16"/>
  <c r="E31" i="16"/>
  <c r="D31" i="16"/>
  <c r="M24" i="16"/>
  <c r="C31" i="16"/>
  <c r="C28" i="16"/>
  <c r="B29" i="16"/>
  <c r="B40" i="16"/>
  <c r="M27" i="16"/>
  <c r="M34" i="16"/>
  <c r="M28" i="16" l="1"/>
  <c r="C29" i="16"/>
  <c r="D29" i="16" s="1"/>
  <c r="E29" i="16" s="1"/>
  <c r="M32" i="16"/>
  <c r="M31" i="16"/>
  <c r="M33" i="16"/>
  <c r="C40" i="16"/>
  <c r="D40" i="16" s="1"/>
  <c r="E40" i="16" s="1"/>
  <c r="F29" i="16" l="1"/>
  <c r="G29" i="16" s="1"/>
  <c r="B31" i="11"/>
  <c r="B31" i="15"/>
  <c r="G22" i="15"/>
  <c r="F22" i="15"/>
  <c r="E22" i="15"/>
  <c r="D22" i="15"/>
  <c r="C22" i="15"/>
  <c r="M20" i="15"/>
  <c r="M19" i="15"/>
  <c r="G15" i="15"/>
  <c r="F15" i="15"/>
  <c r="E15" i="15"/>
  <c r="D15" i="15"/>
  <c r="C15" i="15"/>
  <c r="G14" i="15"/>
  <c r="F14" i="15"/>
  <c r="E14" i="15"/>
  <c r="D14" i="15"/>
  <c r="C14" i="15"/>
  <c r="B14" i="15"/>
  <c r="B27" i="15" s="1"/>
  <c r="D15" i="11"/>
  <c r="C15" i="11"/>
  <c r="E15" i="11"/>
  <c r="F15" i="11"/>
  <c r="G15" i="11"/>
  <c r="H15" i="11"/>
  <c r="I15" i="11"/>
  <c r="J15" i="11"/>
  <c r="K15" i="11"/>
  <c r="L15" i="11"/>
  <c r="B14" i="11"/>
  <c r="B16" i="11" s="1"/>
  <c r="C22" i="11"/>
  <c r="M20" i="11"/>
  <c r="M19" i="11"/>
  <c r="D22" i="11"/>
  <c r="E22" i="11"/>
  <c r="F22" i="11"/>
  <c r="G22" i="11"/>
  <c r="H22" i="11"/>
  <c r="I22" i="11"/>
  <c r="J22" i="11"/>
  <c r="K22" i="11"/>
  <c r="L22" i="11"/>
  <c r="E14" i="11"/>
  <c r="E27" i="11" s="1"/>
  <c r="D14" i="11"/>
  <c r="F14" i="11"/>
  <c r="G14" i="11"/>
  <c r="H14" i="11"/>
  <c r="I14" i="11"/>
  <c r="K14" i="11"/>
  <c r="K27" i="11" s="1"/>
  <c r="C14" i="11"/>
  <c r="J14" i="11"/>
  <c r="L14" i="11"/>
  <c r="F16" i="15" l="1"/>
  <c r="C27" i="15"/>
  <c r="C16" i="15"/>
  <c r="M14" i="15"/>
  <c r="G24" i="15"/>
  <c r="G27" i="15"/>
  <c r="D30" i="15"/>
  <c r="C24" i="15"/>
  <c r="C28" i="15" s="1"/>
  <c r="E24" i="15"/>
  <c r="D24" i="15"/>
  <c r="G16" i="15"/>
  <c r="F27" i="15"/>
  <c r="D27" i="15"/>
  <c r="E27" i="15"/>
  <c r="D16" i="15"/>
  <c r="E30" i="15"/>
  <c r="E16" i="15"/>
  <c r="B30" i="15"/>
  <c r="F30" i="15"/>
  <c r="B16" i="15"/>
  <c r="M22" i="15"/>
  <c r="F24" i="15"/>
  <c r="C30" i="15"/>
  <c r="G30" i="15"/>
  <c r="D30" i="11"/>
  <c r="H30" i="11"/>
  <c r="F30" i="11"/>
  <c r="B30" i="11"/>
  <c r="I30" i="11"/>
  <c r="E30" i="11"/>
  <c r="L30" i="11"/>
  <c r="K30" i="11"/>
  <c r="G30" i="11"/>
  <c r="G27" i="11"/>
  <c r="L27" i="11"/>
  <c r="C30" i="11"/>
  <c r="J30" i="11"/>
  <c r="B28" i="11"/>
  <c r="B29" i="11" s="1"/>
  <c r="M14" i="11"/>
  <c r="C16" i="11"/>
  <c r="B27" i="11"/>
  <c r="H16" i="11"/>
  <c r="M22" i="11"/>
  <c r="D27" i="11"/>
  <c r="I24" i="11"/>
  <c r="E24" i="11"/>
  <c r="C24" i="11"/>
  <c r="I27" i="11"/>
  <c r="J24" i="11"/>
  <c r="F24" i="11"/>
  <c r="C27" i="11"/>
  <c r="H27" i="11"/>
  <c r="H24" i="11"/>
  <c r="D24" i="11"/>
  <c r="K24" i="11"/>
  <c r="G24" i="11"/>
  <c r="J27" i="11"/>
  <c r="F27" i="11"/>
  <c r="L24" i="11"/>
  <c r="E16" i="11"/>
  <c r="I16" i="11"/>
  <c r="I28" i="11" s="1"/>
  <c r="D16" i="11"/>
  <c r="G16" i="11"/>
  <c r="L16" i="11"/>
  <c r="K16" i="11"/>
  <c r="F16" i="11"/>
  <c r="J16" i="11"/>
  <c r="F28" i="15" l="1"/>
  <c r="L31" i="11"/>
  <c r="E31" i="11"/>
  <c r="I31" i="11"/>
  <c r="D31" i="11"/>
  <c r="H31" i="11"/>
  <c r="C31" i="11"/>
  <c r="J31" i="11"/>
  <c r="K31" i="11"/>
  <c r="F31" i="11"/>
  <c r="G31" i="11"/>
  <c r="M34" i="11"/>
  <c r="D28" i="15"/>
  <c r="E28" i="15"/>
  <c r="M30" i="15"/>
  <c r="F31" i="15"/>
  <c r="D31" i="15"/>
  <c r="C31" i="15"/>
  <c r="E31" i="15"/>
  <c r="G31" i="15"/>
  <c r="M27" i="15"/>
  <c r="G28" i="15"/>
  <c r="M34" i="15"/>
  <c r="M24" i="15"/>
  <c r="B28" i="15"/>
  <c r="B40" i="15" s="1"/>
  <c r="C40" i="15" s="1"/>
  <c r="M16" i="15"/>
  <c r="H28" i="11"/>
  <c r="M16" i="11"/>
  <c r="M27" i="11"/>
  <c r="M30" i="11"/>
  <c r="F28" i="11"/>
  <c r="E28" i="11"/>
  <c r="M24" i="11"/>
  <c r="C28" i="11"/>
  <c r="C29" i="11" s="1"/>
  <c r="J28" i="11"/>
  <c r="K28" i="11"/>
  <c r="G28" i="11"/>
  <c r="L28" i="11"/>
  <c r="D28" i="11"/>
  <c r="D40" i="15" l="1"/>
  <c r="E40" i="15" s="1"/>
  <c r="F40" i="15" s="1"/>
  <c r="G40" i="15" s="1"/>
  <c r="M31" i="11"/>
  <c r="M31" i="15"/>
  <c r="M32" i="15"/>
  <c r="M33" i="15"/>
  <c r="B29" i="15"/>
  <c r="M28" i="15"/>
  <c r="C29" i="15"/>
  <c r="D29" i="15" s="1"/>
  <c r="E29" i="15" s="1"/>
  <c r="F29" i="15" s="1"/>
  <c r="G29" i="15" s="1"/>
  <c r="M32" i="11"/>
  <c r="D29" i="11"/>
  <c r="E29" i="11" s="1"/>
  <c r="F29" i="11" s="1"/>
  <c r="G29" i="11" s="1"/>
  <c r="H29" i="11" s="1"/>
  <c r="I29" i="11" s="1"/>
  <c r="J29" i="11" s="1"/>
  <c r="K29" i="11" s="1"/>
  <c r="L29" i="11" s="1"/>
  <c r="M28" i="11"/>
  <c r="M33" i="11"/>
</calcChain>
</file>

<file path=xl/sharedStrings.xml><?xml version="1.0" encoding="utf-8"?>
<sst xmlns="http://schemas.openxmlformats.org/spreadsheetml/2006/main" count="788" uniqueCount="66">
  <si>
    <t xml:space="preserve">Discount Rate   </t>
  </si>
  <si>
    <t>Total</t>
  </si>
  <si>
    <t>(All Years)</t>
  </si>
  <si>
    <t xml:space="preserve">          Total Annual Investment Costs</t>
  </si>
  <si>
    <t>Net Present Value</t>
  </si>
  <si>
    <t xml:space="preserve">          x Present Value Factors</t>
  </si>
  <si>
    <t xml:space="preserve">          Total Discounted Annual Investment Costs</t>
  </si>
  <si>
    <t>Undiscounted Annual Net Cash Flows</t>
  </si>
  <si>
    <t>Return on Investment Summary</t>
  </si>
  <si>
    <t xml:space="preserve">     Extra Annual Costs/Savings -other</t>
  </si>
  <si>
    <t xml:space="preserve">     Initial Investment Costs - main</t>
  </si>
  <si>
    <t>Annual Increase in Crop Value</t>
  </si>
  <si>
    <t>Grain price  ($/t)</t>
  </si>
  <si>
    <t>Yield of treated (t/ha)</t>
  </si>
  <si>
    <t>Yield of untreated (t/ha)</t>
  </si>
  <si>
    <t xml:space="preserve">Extra Costs of Crop Seeding </t>
  </si>
  <si>
    <t>Year</t>
  </si>
  <si>
    <t>Cumulative ROI (%) (no discount)</t>
  </si>
  <si>
    <t>Benefit:Cost Ratio (discounted)</t>
  </si>
  <si>
    <t>Cumulative discounted cashflow</t>
  </si>
  <si>
    <t>Discounted annual net cash flows (PV)</t>
  </si>
  <si>
    <t xml:space="preserve">Initial Investment Costs - second </t>
  </si>
  <si>
    <t>Discounted cash flow, Return on Investment Analysis : Soil Amelioration</t>
  </si>
  <si>
    <t>NPV is the total addition to wealth per ha (in $ at time of initial investment) from the treatment over the period, above the cost of capital at the discount rate.</t>
  </si>
  <si>
    <t>The MIRR is percentage annual return over the four years on the extra capital that was invested in sub-soil manure in 2009. This is only possible if there is negative benefit in year 1.</t>
  </si>
  <si>
    <t>Modified Internal Rate of Return MIRR</t>
  </si>
  <si>
    <t xml:space="preserve">          Total Discounted Annual Benefits</t>
  </si>
  <si>
    <t>Costs of Soil Treatment</t>
  </si>
  <si>
    <t>Benefits</t>
  </si>
  <si>
    <t>Cumulative ROI (%) (discountedt)</t>
  </si>
  <si>
    <t>Grain price  ($/t) less freight</t>
  </si>
  <si>
    <t>Y0</t>
  </si>
  <si>
    <t>Y1</t>
  </si>
  <si>
    <t>Y2</t>
  </si>
  <si>
    <t>Y3</t>
  </si>
  <si>
    <t>Y4</t>
  </si>
  <si>
    <t>Y5</t>
  </si>
  <si>
    <t>NPV</t>
  </si>
  <si>
    <t>B</t>
  </si>
  <si>
    <t>W</t>
  </si>
  <si>
    <t>Ouyen M rip to 30</t>
  </si>
  <si>
    <t xml:space="preserve">     Extra Annual Fertiiser Costs/Savings*</t>
  </si>
  <si>
    <t>Cost of replacement fertliser /t</t>
  </si>
  <si>
    <t>Site:</t>
  </si>
  <si>
    <t xml:space="preserve">     Extra Annual Fertiliser Costs (replacement)</t>
  </si>
  <si>
    <t xml:space="preserve">     Extra Annual Fertiiser Costs (Replacement)</t>
  </si>
  <si>
    <t>The MIRR is percentage annual return over the four years on the extra capital that was invested at beginning. This is only possible if there is negative benefit in year  of investment</t>
  </si>
  <si>
    <t>Lu</t>
  </si>
  <si>
    <t>Le</t>
  </si>
  <si>
    <t>Bute T rip to 60</t>
  </si>
  <si>
    <t xml:space="preserve">     Extra Annual Fertiiser Costs*</t>
  </si>
  <si>
    <t>Bute B rip 30</t>
  </si>
  <si>
    <t>Bute B rip 60</t>
  </si>
  <si>
    <t>Bute B rip inc</t>
  </si>
  <si>
    <t>Carwarp Rip 30</t>
  </si>
  <si>
    <t>Carwarp Rip 60</t>
  </si>
  <si>
    <t>Carwarp Spade</t>
  </si>
  <si>
    <t>Ouyen spade 2017-18</t>
  </si>
  <si>
    <t>Waikerie Rip 30</t>
  </si>
  <si>
    <t>Waikerie Rip 60</t>
  </si>
  <si>
    <t>Murlong Rip inc 18-19</t>
  </si>
  <si>
    <t>Murlong Spade 18-19</t>
  </si>
  <si>
    <t>Yenda rip 50</t>
  </si>
  <si>
    <t>K</t>
  </si>
  <si>
    <t>Karoonda NH OM spade (assumed $500/ha)</t>
  </si>
  <si>
    <t>Karoonda NH  spade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</si>
</sst>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_);_(* \(#,##0\);_(* &quot;-&quot;_);_(@_)"/>
    <numFmt numFmtId="165" formatCode="_(&quot;$&quot;* #,##0.00_);_(&quot;$&quot;* \(#,##0.00\);_(&quot;$&quot;* &quot;-&quot;??_);_(@_)"/>
    <numFmt numFmtId="166" formatCode="_(* #,##0.00_);_(* \(#,##0.00\);_(* &quot;-&quot;??_);_(@_)"/>
    <numFmt numFmtId="167" formatCode="_(&quot;$&quot;* #,##0_);_(&quot;$&quot;* \(#,##0\);_(&quot;$&quot;* &quot;-&quot;??_);_(@_)"/>
    <numFmt numFmtId="168" formatCode="&quot;$&quot;#,##0.00"/>
    <numFmt numFmtId="169" formatCode="_(* #,##0.00_);_(* \(#,##0.00\);_(* &quot;-&quot;_);_(@_)"/>
  </numFmts>
  <fonts count="10" x14ac:knownFonts="1">
    <font>
      <sz val="10"/>
      <name val="Arial"/>
    </font>
    <font>
      <sz val="10"/>
      <name val="Arial"/>
    </font>
    <font>
      <sz val="11"/>
      <name val="Arial Narrow"/>
      <family val="2"/>
    </font>
    <font>
      <sz val="8"/>
      <name val="Arial"/>
    </font>
    <font>
      <b/>
      <sz val="11"/>
      <name val="Arial Narrow"/>
      <family val="2"/>
    </font>
    <font>
      <b/>
      <sz val="13"/>
      <name val="Arial Narrow"/>
      <family val="2"/>
    </font>
    <font>
      <sz val="13"/>
      <name val="Arial Narrow"/>
      <family val="2"/>
    </font>
    <font>
      <b/>
      <i/>
      <sz val="11"/>
      <name val="Arial Narrow"/>
      <family val="2"/>
    </font>
    <font>
      <b/>
      <sz val="10"/>
      <name val="Arial"/>
      <family val="2"/>
    </font>
    <font>
      <sz val="10"/>
      <name val="Arial"/>
      <family val="2"/>
    </font>
  </fonts>
  <fills count="8">
    <fill>
      <patternFill patternType="none"/>
    </fill>
    <fill>
      <patternFill patternType="gray125"/>
    </fill>
    <fill>
      <patternFill patternType="solid">
        <fgColor indexed="9"/>
        <bgColor indexed="64"/>
      </patternFill>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theme="0" tint="-0.249977111117893"/>
        <bgColor indexed="64"/>
      </patternFill>
    </fill>
    <fill>
      <patternFill patternType="solid">
        <fgColor theme="9" tint="0.59999389629810485"/>
        <bgColor indexed="64"/>
      </patternFill>
    </fill>
  </fills>
  <borders count="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right/>
      <top style="medium">
        <color indexed="64"/>
      </top>
      <bottom style="thin">
        <color indexed="64"/>
      </bottom>
      <diagonal/>
    </border>
  </borders>
  <cellStyleXfs count="4">
    <xf numFmtId="0" fontId="0" fillId="0" borderId="0" applyBorder="0"/>
    <xf numFmtId="166" fontId="1" fillId="0" borderId="0" applyFont="0" applyFill="0" applyBorder="0" applyAlignment="0" applyProtection="0"/>
    <xf numFmtId="165" fontId="1" fillId="0" borderId="0" applyFont="0" applyFill="0" applyBorder="0" applyAlignment="0" applyProtection="0"/>
    <xf numFmtId="9" fontId="1" fillId="0" borderId="0" applyFont="0" applyFill="0" applyBorder="0" applyAlignment="0" applyProtection="0"/>
  </cellStyleXfs>
  <cellXfs count="89">
    <xf numFmtId="0" fontId="0" fillId="0" borderId="0" xfId="0"/>
    <xf numFmtId="0" fontId="2" fillId="0" borderId="0" xfId="0" applyFont="1"/>
    <xf numFmtId="0" fontId="4" fillId="0" borderId="0" xfId="0" applyFont="1"/>
    <xf numFmtId="0" fontId="5" fillId="2" borderId="0" xfId="0" applyFont="1" applyFill="1" applyBorder="1" applyAlignment="1">
      <alignment horizontal="center" wrapText="1"/>
    </xf>
    <xf numFmtId="0" fontId="6" fillId="2" borderId="0" xfId="0" applyFont="1" applyFill="1" applyBorder="1" applyAlignment="1">
      <alignment horizontal="center" wrapText="1"/>
    </xf>
    <xf numFmtId="0" fontId="0" fillId="2" borderId="0" xfId="0" applyFill="1"/>
    <xf numFmtId="0" fontId="2" fillId="2" borderId="0" xfId="0" applyFont="1" applyFill="1"/>
    <xf numFmtId="0" fontId="2" fillId="2" borderId="0" xfId="0" applyFont="1" applyFill="1" applyBorder="1"/>
    <xf numFmtId="0" fontId="4" fillId="2" borderId="0" xfId="0" applyFont="1" applyFill="1"/>
    <xf numFmtId="0" fontId="0" fillId="0" borderId="0" xfId="0" applyNumberFormat="1"/>
    <xf numFmtId="0" fontId="0" fillId="0" borderId="0" xfId="0" applyFill="1"/>
    <xf numFmtId="168" fontId="0" fillId="0" borderId="0" xfId="0" applyNumberFormat="1"/>
    <xf numFmtId="0" fontId="4" fillId="0" borderId="1" xfId="0" applyFont="1" applyBorder="1" applyAlignment="1">
      <alignment horizontal="center"/>
    </xf>
    <xf numFmtId="0" fontId="7" fillId="0" borderId="0" xfId="0" applyFont="1"/>
    <xf numFmtId="0" fontId="4" fillId="2" borderId="0" xfId="0" applyFont="1" applyFill="1" applyBorder="1" applyAlignment="1">
      <alignment horizontal="right"/>
    </xf>
    <xf numFmtId="9" fontId="2" fillId="3" borderId="2" xfId="3" applyFont="1" applyFill="1" applyBorder="1"/>
    <xf numFmtId="0" fontId="0" fillId="0" borderId="3" xfId="0" applyBorder="1"/>
    <xf numFmtId="0" fontId="8" fillId="0" borderId="1" xfId="0" applyFont="1" applyBorder="1" applyAlignment="1">
      <alignment horizontal="center"/>
    </xf>
    <xf numFmtId="0" fontId="8" fillId="0" borderId="3" xfId="0" applyFont="1" applyBorder="1" applyAlignment="1">
      <alignment horizontal="center"/>
    </xf>
    <xf numFmtId="2" fontId="0" fillId="4" borderId="0" xfId="0" applyNumberFormat="1" applyFill="1"/>
    <xf numFmtId="9" fontId="0" fillId="4" borderId="0" xfId="0" applyNumberFormat="1" applyFill="1" applyAlignment="1">
      <alignment horizontal="right"/>
    </xf>
    <xf numFmtId="165" fontId="2" fillId="5" borderId="0" xfId="2" applyNumberFormat="1" applyFont="1" applyFill="1"/>
    <xf numFmtId="166" fontId="2" fillId="5" borderId="1" xfId="1" applyNumberFormat="1" applyFont="1" applyFill="1" applyBorder="1"/>
    <xf numFmtId="166" fontId="2" fillId="5" borderId="0" xfId="1" applyNumberFormat="1" applyFont="1" applyFill="1"/>
    <xf numFmtId="169" fontId="2" fillId="5" borderId="1" xfId="1" applyNumberFormat="1" applyFont="1" applyFill="1" applyBorder="1"/>
    <xf numFmtId="166" fontId="2" fillId="5" borderId="0" xfId="1" applyNumberFormat="1" applyFont="1" applyFill="1" applyBorder="1"/>
    <xf numFmtId="164" fontId="0" fillId="5" borderId="0" xfId="0" applyNumberFormat="1" applyFill="1"/>
    <xf numFmtId="164" fontId="0" fillId="5" borderId="0" xfId="0" applyNumberFormat="1" applyFill="1" applyBorder="1"/>
    <xf numFmtId="164" fontId="2" fillId="5" borderId="0" xfId="1" applyNumberFormat="1" applyFont="1" applyFill="1"/>
    <xf numFmtId="164" fontId="2" fillId="5" borderId="0" xfId="1" applyNumberFormat="1" applyFont="1" applyFill="1" applyBorder="1"/>
    <xf numFmtId="0" fontId="0" fillId="5" borderId="0" xfId="0" applyFill="1"/>
    <xf numFmtId="167" fontId="2" fillId="0" borderId="0" xfId="2" applyNumberFormat="1" applyFont="1" applyFill="1" applyBorder="1"/>
    <xf numFmtId="167" fontId="2" fillId="4" borderId="0" xfId="2" applyNumberFormat="1" applyFont="1" applyFill="1" applyBorder="1"/>
    <xf numFmtId="167" fontId="0" fillId="4" borderId="0" xfId="0" applyNumberFormat="1" applyFill="1"/>
    <xf numFmtId="0" fontId="2" fillId="0" borderId="0" xfId="0" applyFont="1" applyAlignment="1"/>
    <xf numFmtId="0" fontId="7" fillId="0" borderId="0" xfId="0" applyFont="1" applyAlignment="1"/>
    <xf numFmtId="0" fontId="4" fillId="0" borderId="0" xfId="0" applyFont="1" applyAlignment="1"/>
    <xf numFmtId="0" fontId="0" fillId="5" borderId="0" xfId="0" applyNumberFormat="1" applyFill="1"/>
    <xf numFmtId="0" fontId="8" fillId="0" borderId="0" xfId="0" applyFont="1"/>
    <xf numFmtId="0" fontId="8" fillId="2" borderId="0" xfId="0" applyFont="1" applyFill="1"/>
    <xf numFmtId="168" fontId="8" fillId="0" borderId="0" xfId="0" applyNumberFormat="1" applyFont="1"/>
    <xf numFmtId="0" fontId="8" fillId="0" borderId="0" xfId="0" applyNumberFormat="1" applyFont="1"/>
    <xf numFmtId="0" fontId="9" fillId="0" borderId="0" xfId="0" applyFont="1" applyAlignment="1"/>
    <xf numFmtId="4" fontId="2" fillId="5" borderId="0" xfId="1" applyNumberFormat="1" applyFont="1" applyFill="1" applyBorder="1"/>
    <xf numFmtId="3" fontId="2" fillId="5" borderId="0" xfId="1" applyNumberFormat="1" applyFont="1" applyFill="1" applyBorder="1"/>
    <xf numFmtId="1" fontId="2" fillId="5" borderId="0" xfId="1" applyNumberFormat="1" applyFont="1" applyFill="1" applyBorder="1"/>
    <xf numFmtId="1" fontId="0" fillId="5" borderId="0" xfId="0" applyNumberFormat="1" applyFill="1"/>
    <xf numFmtId="1" fontId="4" fillId="5" borderId="0" xfId="1" applyNumberFormat="1" applyFont="1" applyFill="1"/>
    <xf numFmtId="1" fontId="8" fillId="5" borderId="0" xfId="0" applyNumberFormat="1" applyFont="1" applyFill="1"/>
    <xf numFmtId="1" fontId="4" fillId="0" borderId="0" xfId="0" applyNumberFormat="1" applyFont="1"/>
    <xf numFmtId="1" fontId="0" fillId="0" borderId="0" xfId="0" applyNumberFormat="1"/>
    <xf numFmtId="1" fontId="2" fillId="0" borderId="0" xfId="0" applyNumberFormat="1" applyFont="1"/>
    <xf numFmtId="1" fontId="0" fillId="4" borderId="0" xfId="0" applyNumberFormat="1" applyFill="1"/>
    <xf numFmtId="1" fontId="0" fillId="2" borderId="0" xfId="0" applyNumberFormat="1" applyFill="1"/>
    <xf numFmtId="0" fontId="9" fillId="0" borderId="0" xfId="0" applyFont="1"/>
    <xf numFmtId="0" fontId="9" fillId="2" borderId="0" xfId="0" applyFont="1" applyFill="1"/>
    <xf numFmtId="3" fontId="4" fillId="5" borderId="0" xfId="1" applyNumberFormat="1" applyFont="1" applyFill="1"/>
    <xf numFmtId="3" fontId="8" fillId="5" borderId="0" xfId="0" applyNumberFormat="1" applyFont="1" applyFill="1"/>
    <xf numFmtId="167" fontId="0" fillId="6" borderId="0" xfId="0" applyNumberFormat="1" applyFill="1"/>
    <xf numFmtId="9" fontId="0" fillId="4" borderId="0" xfId="0" applyNumberFormat="1" applyFill="1"/>
    <xf numFmtId="0" fontId="2" fillId="7" borderId="0" xfId="0" applyFont="1" applyFill="1" applyAlignment="1"/>
    <xf numFmtId="0" fontId="0" fillId="7" borderId="0" xfId="0" applyFill="1" applyAlignment="1"/>
    <xf numFmtId="0" fontId="8" fillId="0" borderId="5" xfId="0" applyFont="1" applyBorder="1" applyAlignment="1">
      <alignment horizontal="center"/>
    </xf>
    <xf numFmtId="3" fontId="4" fillId="7" borderId="0" xfId="1" applyNumberFormat="1" applyFont="1" applyFill="1"/>
    <xf numFmtId="0" fontId="9" fillId="7" borderId="4" xfId="0" applyFont="1" applyFill="1" applyBorder="1" applyAlignment="1"/>
    <xf numFmtId="0" fontId="2" fillId="7" borderId="1" xfId="0" applyFont="1" applyFill="1" applyBorder="1" applyAlignment="1"/>
    <xf numFmtId="3" fontId="2" fillId="7" borderId="0" xfId="1" applyNumberFormat="1" applyFont="1" applyFill="1"/>
    <xf numFmtId="9" fontId="0" fillId="6" borderId="0" xfId="0" applyNumberFormat="1" applyFill="1"/>
    <xf numFmtId="1" fontId="4" fillId="0" borderId="5" xfId="0" applyNumberFormat="1" applyFont="1" applyBorder="1"/>
    <xf numFmtId="1" fontId="2" fillId="0" borderId="5" xfId="0" applyNumberFormat="1" applyFont="1" applyBorder="1"/>
    <xf numFmtId="1" fontId="0" fillId="4" borderId="5" xfId="0" applyNumberFormat="1" applyFill="1" applyBorder="1"/>
    <xf numFmtId="1" fontId="0" fillId="0" borderId="5" xfId="0" applyNumberFormat="1" applyBorder="1"/>
    <xf numFmtId="1" fontId="0" fillId="2" borderId="5" xfId="0" applyNumberFormat="1" applyFill="1" applyBorder="1"/>
    <xf numFmtId="0" fontId="4" fillId="0" borderId="5" xfId="0" applyFont="1" applyBorder="1"/>
    <xf numFmtId="0" fontId="0" fillId="0" borderId="5" xfId="0" applyBorder="1"/>
    <xf numFmtId="9" fontId="0" fillId="6" borderId="5" xfId="0" applyNumberFormat="1" applyFill="1" applyBorder="1"/>
    <xf numFmtId="3" fontId="0" fillId="0" borderId="0" xfId="0" applyNumberFormat="1"/>
    <xf numFmtId="9" fontId="9" fillId="4" borderId="0" xfId="0" applyNumberFormat="1" applyFont="1" applyFill="1" applyAlignment="1">
      <alignment horizontal="right"/>
    </xf>
    <xf numFmtId="9" fontId="9" fillId="4" borderId="0" xfId="0" applyNumberFormat="1" applyFont="1" applyFill="1"/>
    <xf numFmtId="167" fontId="9" fillId="4" borderId="0" xfId="0" applyNumberFormat="1" applyFont="1" applyFill="1"/>
    <xf numFmtId="168" fontId="9" fillId="0" borderId="0" xfId="0" applyNumberFormat="1" applyFont="1"/>
    <xf numFmtId="0" fontId="2" fillId="0" borderId="0" xfId="0" applyFont="1" applyAlignment="1">
      <alignment horizontal="center"/>
    </xf>
    <xf numFmtId="0" fontId="4" fillId="0" borderId="6" xfId="0" applyFont="1" applyBorder="1" applyAlignment="1">
      <alignment horizontal="center"/>
    </xf>
    <xf numFmtId="0" fontId="0" fillId="0" borderId="6" xfId="0" applyBorder="1" applyAlignment="1">
      <alignment horizontal="center"/>
    </xf>
    <xf numFmtId="0" fontId="5" fillId="2" borderId="3" xfId="0" applyFont="1" applyFill="1" applyBorder="1" applyAlignment="1">
      <alignment horizontal="center" wrapText="1"/>
    </xf>
    <xf numFmtId="0" fontId="6" fillId="2" borderId="3" xfId="0" applyFont="1" applyFill="1" applyBorder="1" applyAlignment="1">
      <alignment horizontal="center" wrapText="1"/>
    </xf>
    <xf numFmtId="0" fontId="0" fillId="0" borderId="3" xfId="0" applyBorder="1" applyAlignment="1"/>
    <xf numFmtId="4" fontId="2" fillId="5" borderId="0" xfId="1" applyNumberFormat="1" applyFont="1" applyFill="1"/>
    <xf numFmtId="3" fontId="2" fillId="5" borderId="0" xfId="1" applyNumberFormat="1" applyFont="1" applyFill="1"/>
  </cellXfs>
  <cellStyles count="4">
    <cellStyle name="Comma" xfId="1" builtinId="3"/>
    <cellStyle name="Currency" xfId="2" builtinId="4"/>
    <cellStyle name="Normal" xfId="0" builtinId="0"/>
    <cellStyle name="Percent" xfId="3"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'5 year version'!$A$40</c:f>
              <c:strCache>
                <c:ptCount val="1"/>
                <c:pt idx="0">
                  <c:v>NPV</c:v>
                </c:pt>
              </c:strCache>
            </c:strRef>
          </c:tx>
          <c:spPr>
            <a:ln w="28575" cap="rnd">
              <a:solidFill>
                <a:schemeClr val="accent1"/>
              </a:solidFill>
              <a:round/>
            </a:ln>
            <a:effectLst/>
          </c:spPr>
          <c:marker>
            <c:symbol val="none"/>
          </c:marker>
          <c:cat>
            <c:strRef>
              <c:f>'5 year version'!$B$39:$G$39</c:f>
              <c:strCache>
                <c:ptCount val="6"/>
                <c:pt idx="0">
                  <c:v>Y0</c:v>
                </c:pt>
                <c:pt idx="1">
                  <c:v>Y1</c:v>
                </c:pt>
                <c:pt idx="2">
                  <c:v>Y2</c:v>
                </c:pt>
                <c:pt idx="3">
                  <c:v>Y3</c:v>
                </c:pt>
                <c:pt idx="4">
                  <c:v>Y4</c:v>
                </c:pt>
                <c:pt idx="5">
                  <c:v>Y5</c:v>
                </c:pt>
              </c:strCache>
            </c:strRef>
          </c:cat>
          <c:val>
            <c:numRef>
              <c:f>'5 year version'!$B$40:$G$40</c:f>
              <c:numCache>
                <c:formatCode>#,##0</c:formatCode>
                <c:ptCount val="6"/>
                <c:pt idx="0">
                  <c:v>-150</c:v>
                </c:pt>
                <c:pt idx="1">
                  <c:v>57.547169811320714</c:v>
                </c:pt>
                <c:pt idx="2">
                  <c:v>122.96190815236733</c:v>
                </c:pt>
                <c:pt idx="3">
                  <c:v>262.75851877724557</c:v>
                </c:pt>
                <c:pt idx="4">
                  <c:v>341.96788510104761</c:v>
                </c:pt>
                <c:pt idx="5">
                  <c:v>343.91075635049935</c:v>
                </c:pt>
              </c:numCache>
            </c:numRef>
          </c:val>
          <c:smooth val="0"/>
          <c:extLst>
            <c:ext xmlns:c16="http://schemas.microsoft.com/office/drawing/2014/chart" uri="{C3380CC4-5D6E-409C-BE32-E72D297353CC}">
              <c16:uniqueId val="{00000000-55D2-4035-AFD7-EBE1F86ADFA3}"/>
            </c:ext>
          </c:extLst>
        </c:ser>
        <c:dLbls>
          <c:showLegendKey val="0"/>
          <c:showVal val="0"/>
          <c:showCatName val="0"/>
          <c:showSerName val="0"/>
          <c:showPercent val="0"/>
          <c:showBubbleSize val="0"/>
        </c:dLbls>
        <c:smooth val="0"/>
        <c:axId val="336158472"/>
        <c:axId val="336157296"/>
      </c:lineChart>
      <c:catAx>
        <c:axId val="336158472"/>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7296"/>
        <c:crosses val="autoZero"/>
        <c:auto val="1"/>
        <c:lblAlgn val="ctr"/>
        <c:lblOffset val="100"/>
        <c:noMultiLvlLbl val="0"/>
      </c:catAx>
      <c:valAx>
        <c:axId val="3361572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8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'ouyenM 2017-19'!$A$40</c:f>
              <c:strCache>
                <c:ptCount val="1"/>
                <c:pt idx="0">
                  <c:v>NPV</c:v>
                </c:pt>
              </c:strCache>
            </c:strRef>
          </c:tx>
          <c:spPr>
            <a:ln w="28575" cap="rnd">
              <a:solidFill>
                <a:schemeClr val="tx1"/>
              </a:solidFill>
              <a:round/>
            </a:ln>
            <a:effectLst/>
          </c:spPr>
          <c:marker>
            <c:symbol val="none"/>
          </c:marker>
          <c:cat>
            <c:strRef>
              <c:f>'ouyenM 2017-19'!$B$39:$G$39</c:f>
              <c:strCache>
                <c:ptCount val="6"/>
                <c:pt idx="0">
                  <c:v>Y0</c:v>
                </c:pt>
                <c:pt idx="1">
                  <c:v>Y1</c:v>
                </c:pt>
                <c:pt idx="2">
                  <c:v>Y2</c:v>
                </c:pt>
                <c:pt idx="3">
                  <c:v>Y3</c:v>
                </c:pt>
                <c:pt idx="4">
                  <c:v>Y4</c:v>
                </c:pt>
                <c:pt idx="5">
                  <c:v>Y5</c:v>
                </c:pt>
              </c:strCache>
            </c:strRef>
          </c:cat>
          <c:val>
            <c:numRef>
              <c:f>'ouyenM 2017-19'!$B$40:$G$40</c:f>
              <c:numCache>
                <c:formatCode>#,##0</c:formatCode>
                <c:ptCount val="6"/>
                <c:pt idx="0">
                  <c:v>-65</c:v>
                </c:pt>
                <c:pt idx="1">
                  <c:v>117.54716981132071</c:v>
                </c:pt>
                <c:pt idx="2">
                  <c:v>184.29690281238868</c:v>
                </c:pt>
                <c:pt idx="3">
                  <c:v>264.48054434197348</c:v>
                </c:pt>
              </c:numCache>
            </c:numRef>
          </c:val>
          <c:smooth val="0"/>
          <c:extLst>
            <c:ext xmlns:c16="http://schemas.microsoft.com/office/drawing/2014/chart" uri="{C3380CC4-5D6E-409C-BE32-E72D297353CC}">
              <c16:uniqueId val="{00000000-7890-44E9-A47E-67659DB9DA31}"/>
            </c:ext>
          </c:extLst>
        </c:ser>
        <c:dLbls>
          <c:showLegendKey val="0"/>
          <c:showVal val="0"/>
          <c:showCatName val="0"/>
          <c:showSerName val="0"/>
          <c:showPercent val="0"/>
          <c:showBubbleSize val="0"/>
        </c:dLbls>
        <c:smooth val="0"/>
        <c:axId val="336160432"/>
        <c:axId val="336159256"/>
      </c:lineChart>
      <c:catAx>
        <c:axId val="336160432"/>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9256"/>
        <c:crosses val="autoZero"/>
        <c:auto val="1"/>
        <c:lblAlgn val="ctr"/>
        <c:lblOffset val="100"/>
        <c:noMultiLvlLbl val="0"/>
      </c:catAx>
      <c:valAx>
        <c:axId val="336159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0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tx1"/>
              </a:solidFill>
              <a:round/>
            </a:ln>
            <a:effectLst/>
          </c:spPr>
          <c:marker>
            <c:symbol val="none"/>
          </c:marker>
          <c:cat>
            <c:strRef>
              <c:f>'Yenda rip50 17-19'!$B$39:$E$39</c:f>
              <c:strCache>
                <c:ptCount val="4"/>
                <c:pt idx="0">
                  <c:v>Y0</c:v>
                </c:pt>
                <c:pt idx="1">
                  <c:v>Y1</c:v>
                </c:pt>
                <c:pt idx="2">
                  <c:v>Y2</c:v>
                </c:pt>
                <c:pt idx="3">
                  <c:v>Y3</c:v>
                </c:pt>
              </c:strCache>
            </c:strRef>
          </c:cat>
          <c:val>
            <c:numRef>
              <c:f>'Yenda rip50 17-19'!$B$40:$E$40</c:f>
              <c:numCache>
                <c:formatCode>#,##0</c:formatCode>
                <c:ptCount val="4"/>
                <c:pt idx="0">
                  <c:v>-65</c:v>
                </c:pt>
                <c:pt idx="1">
                  <c:v>-16.886792452830207</c:v>
                </c:pt>
                <c:pt idx="2">
                  <c:v>-53.643645425418342</c:v>
                </c:pt>
                <c:pt idx="3">
                  <c:v>-51.124787576321438</c:v>
                </c:pt>
              </c:numCache>
            </c:numRef>
          </c:val>
          <c:smooth val="0"/>
          <c:extLst>
            <c:ext xmlns:c16="http://schemas.microsoft.com/office/drawing/2014/chart" uri="{C3380CC4-5D6E-409C-BE32-E72D297353CC}">
              <c16:uniqueId val="{00000000-A3A7-4DB7-95C7-830C1FC2681B}"/>
            </c:ext>
          </c:extLst>
        </c:ser>
        <c:dLbls>
          <c:showLegendKey val="0"/>
          <c:showVal val="0"/>
          <c:showCatName val="0"/>
          <c:showSerName val="0"/>
          <c:showPercent val="0"/>
          <c:showBubbleSize val="0"/>
        </c:dLbls>
        <c:smooth val="0"/>
        <c:axId val="336160432"/>
        <c:axId val="336159256"/>
      </c:lineChart>
      <c:catAx>
        <c:axId val="336160432"/>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9256"/>
        <c:crosses val="autoZero"/>
        <c:auto val="1"/>
        <c:lblAlgn val="ctr"/>
        <c:lblOffset val="100"/>
        <c:noMultiLvlLbl val="0"/>
      </c:catAx>
      <c:valAx>
        <c:axId val="336159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0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'ouyenM 2017-19'!$A$40</c:f>
              <c:strCache>
                <c:ptCount val="1"/>
                <c:pt idx="0">
                  <c:v>NPV</c:v>
                </c:pt>
              </c:strCache>
            </c:strRef>
          </c:tx>
          <c:spPr>
            <a:ln w="28575" cap="rnd">
              <a:solidFill>
                <a:schemeClr val="tx1"/>
              </a:solidFill>
              <a:round/>
            </a:ln>
            <a:effectLst/>
          </c:spPr>
          <c:marker>
            <c:symbol val="none"/>
          </c:marker>
          <c:cat>
            <c:strRef>
              <c:f>'ouyenM 2017-19'!$B$39:$G$39</c:f>
              <c:strCache>
                <c:ptCount val="6"/>
                <c:pt idx="0">
                  <c:v>Y0</c:v>
                </c:pt>
                <c:pt idx="1">
                  <c:v>Y1</c:v>
                </c:pt>
                <c:pt idx="2">
                  <c:v>Y2</c:v>
                </c:pt>
                <c:pt idx="3">
                  <c:v>Y3</c:v>
                </c:pt>
                <c:pt idx="4">
                  <c:v>Y4</c:v>
                </c:pt>
                <c:pt idx="5">
                  <c:v>Y5</c:v>
                </c:pt>
              </c:strCache>
            </c:strRef>
          </c:cat>
          <c:val>
            <c:numRef>
              <c:f>'ouyenM 2017-19'!$B$40:$G$40</c:f>
              <c:numCache>
                <c:formatCode>#,##0</c:formatCode>
                <c:ptCount val="6"/>
                <c:pt idx="0">
                  <c:v>-65</c:v>
                </c:pt>
                <c:pt idx="1">
                  <c:v>117.54716981132071</c:v>
                </c:pt>
                <c:pt idx="2">
                  <c:v>184.29690281238868</c:v>
                </c:pt>
                <c:pt idx="3">
                  <c:v>264.48054434197348</c:v>
                </c:pt>
              </c:numCache>
            </c:numRef>
          </c:val>
          <c:smooth val="0"/>
          <c:extLst>
            <c:ext xmlns:c16="http://schemas.microsoft.com/office/drawing/2014/chart" uri="{C3380CC4-5D6E-409C-BE32-E72D297353CC}">
              <c16:uniqueId val="{00000000-6510-454D-97DB-6E74F0EBAE5D}"/>
            </c:ext>
          </c:extLst>
        </c:ser>
        <c:dLbls>
          <c:showLegendKey val="0"/>
          <c:showVal val="0"/>
          <c:showCatName val="0"/>
          <c:showSerName val="0"/>
          <c:showPercent val="0"/>
          <c:showBubbleSize val="0"/>
        </c:dLbls>
        <c:smooth val="0"/>
        <c:axId val="336153768"/>
        <c:axId val="336161216"/>
      </c:lineChart>
      <c:catAx>
        <c:axId val="336153768"/>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1216"/>
        <c:crosses val="autoZero"/>
        <c:auto val="1"/>
        <c:lblAlgn val="ctr"/>
        <c:lblOffset val="100"/>
        <c:noMultiLvlLbl val="0"/>
      </c:catAx>
      <c:valAx>
        <c:axId val="336161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3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tx1"/>
              </a:solidFill>
              <a:round/>
            </a:ln>
            <a:effectLst/>
          </c:spPr>
          <c:marker>
            <c:symbol val="none"/>
          </c:marker>
          <c:cat>
            <c:strRef>
              <c:f>'Bute T rip60 15-17'!$B$39:$E$39</c:f>
              <c:strCache>
                <c:ptCount val="4"/>
                <c:pt idx="0">
                  <c:v>Y0</c:v>
                </c:pt>
                <c:pt idx="1">
                  <c:v>Y1</c:v>
                </c:pt>
                <c:pt idx="2">
                  <c:v>Y2</c:v>
                </c:pt>
                <c:pt idx="3">
                  <c:v>Y3</c:v>
                </c:pt>
              </c:strCache>
            </c:strRef>
          </c:cat>
          <c:val>
            <c:numRef>
              <c:f>'Bute T rip60 15-17'!$B$40:$E$40</c:f>
              <c:numCache>
                <c:formatCode>#,##0</c:formatCode>
                <c:ptCount val="4"/>
                <c:pt idx="0">
                  <c:v>-85</c:v>
                </c:pt>
                <c:pt idx="1">
                  <c:v>155.56603773584897</c:v>
                </c:pt>
                <c:pt idx="2">
                  <c:v>243.67568529725864</c:v>
                </c:pt>
                <c:pt idx="3">
                  <c:v>746.43971197700091</c:v>
                </c:pt>
              </c:numCache>
            </c:numRef>
          </c:val>
          <c:smooth val="0"/>
          <c:extLst>
            <c:ext xmlns:c16="http://schemas.microsoft.com/office/drawing/2014/chart" uri="{C3380CC4-5D6E-409C-BE32-E72D297353CC}">
              <c16:uniqueId val="{00000000-6C02-441E-BE23-07E89D59BEDE}"/>
            </c:ext>
          </c:extLst>
        </c:ser>
        <c:dLbls>
          <c:showLegendKey val="0"/>
          <c:showVal val="0"/>
          <c:showCatName val="0"/>
          <c:showSerName val="0"/>
          <c:showPercent val="0"/>
          <c:showBubbleSize val="0"/>
        </c:dLbls>
        <c:smooth val="0"/>
        <c:axId val="336160432"/>
        <c:axId val="336159256"/>
      </c:lineChart>
      <c:catAx>
        <c:axId val="336160432"/>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9256"/>
        <c:crosses val="autoZero"/>
        <c:auto val="1"/>
        <c:lblAlgn val="ctr"/>
        <c:lblOffset val="100"/>
        <c:noMultiLvlLbl val="0"/>
      </c:catAx>
      <c:valAx>
        <c:axId val="336159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0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'ouyenM 2017-19'!$A$40</c:f>
              <c:strCache>
                <c:ptCount val="1"/>
                <c:pt idx="0">
                  <c:v>NPV</c:v>
                </c:pt>
              </c:strCache>
            </c:strRef>
          </c:tx>
          <c:spPr>
            <a:ln w="28575" cap="rnd">
              <a:solidFill>
                <a:schemeClr val="tx1"/>
              </a:solidFill>
              <a:round/>
            </a:ln>
            <a:effectLst/>
          </c:spPr>
          <c:marker>
            <c:symbol val="none"/>
          </c:marker>
          <c:cat>
            <c:strRef>
              <c:f>'ouyenM 2017-19'!$B$39:$G$39</c:f>
              <c:strCache>
                <c:ptCount val="6"/>
                <c:pt idx="0">
                  <c:v>Y0</c:v>
                </c:pt>
                <c:pt idx="1">
                  <c:v>Y1</c:v>
                </c:pt>
                <c:pt idx="2">
                  <c:v>Y2</c:v>
                </c:pt>
                <c:pt idx="3">
                  <c:v>Y3</c:v>
                </c:pt>
                <c:pt idx="4">
                  <c:v>Y4</c:v>
                </c:pt>
                <c:pt idx="5">
                  <c:v>Y5</c:v>
                </c:pt>
              </c:strCache>
            </c:strRef>
          </c:cat>
          <c:val>
            <c:numRef>
              <c:f>'ouyenM 2017-19'!$B$40:$G$40</c:f>
              <c:numCache>
                <c:formatCode>#,##0</c:formatCode>
                <c:ptCount val="6"/>
                <c:pt idx="0">
                  <c:v>-65</c:v>
                </c:pt>
                <c:pt idx="1">
                  <c:v>117.54716981132071</c:v>
                </c:pt>
                <c:pt idx="2">
                  <c:v>184.29690281238868</c:v>
                </c:pt>
                <c:pt idx="3">
                  <c:v>264.48054434197348</c:v>
                </c:pt>
              </c:numCache>
            </c:numRef>
          </c:val>
          <c:smooth val="0"/>
          <c:extLst>
            <c:ext xmlns:c16="http://schemas.microsoft.com/office/drawing/2014/chart" uri="{C3380CC4-5D6E-409C-BE32-E72D297353CC}">
              <c16:uniqueId val="{00000000-686D-40D1-87A4-D50B0917AFFB}"/>
            </c:ext>
          </c:extLst>
        </c:ser>
        <c:dLbls>
          <c:showLegendKey val="0"/>
          <c:showVal val="0"/>
          <c:showCatName val="0"/>
          <c:showSerName val="0"/>
          <c:showPercent val="0"/>
          <c:showBubbleSize val="0"/>
        </c:dLbls>
        <c:smooth val="0"/>
        <c:axId val="336153768"/>
        <c:axId val="336161216"/>
      </c:lineChart>
      <c:catAx>
        <c:axId val="336153768"/>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1216"/>
        <c:crosses val="autoZero"/>
        <c:auto val="1"/>
        <c:lblAlgn val="ctr"/>
        <c:lblOffset val="100"/>
        <c:noMultiLvlLbl val="0"/>
      </c:catAx>
      <c:valAx>
        <c:axId val="336161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3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tx1"/>
              </a:solidFill>
              <a:round/>
            </a:ln>
            <a:effectLst/>
          </c:spPr>
          <c:marker>
            <c:symbol val="none"/>
          </c:marker>
          <c:cat>
            <c:strRef>
              <c:f>'ButeB rip30 18-19'!$B$39:$D$39</c:f>
              <c:strCache>
                <c:ptCount val="3"/>
                <c:pt idx="0">
                  <c:v>Y0</c:v>
                </c:pt>
                <c:pt idx="1">
                  <c:v>Y1</c:v>
                </c:pt>
                <c:pt idx="2">
                  <c:v>Y2</c:v>
                </c:pt>
              </c:strCache>
            </c:strRef>
          </c:cat>
          <c:val>
            <c:numRef>
              <c:f>'ButeB rip30 18-19'!$B$40:$D$40</c:f>
              <c:numCache>
                <c:formatCode>#,##0</c:formatCode>
                <c:ptCount val="3"/>
                <c:pt idx="0">
                  <c:v>-85</c:v>
                </c:pt>
                <c:pt idx="1">
                  <c:v>11.2264150943397</c:v>
                </c:pt>
                <c:pt idx="2">
                  <c:v>0.54645781416881256</c:v>
                </c:pt>
              </c:numCache>
            </c:numRef>
          </c:val>
          <c:smooth val="0"/>
          <c:extLst>
            <c:ext xmlns:c16="http://schemas.microsoft.com/office/drawing/2014/chart" uri="{C3380CC4-5D6E-409C-BE32-E72D297353CC}">
              <c16:uniqueId val="{00000000-1D0C-4DA1-8CCB-B4C5142834D8}"/>
            </c:ext>
          </c:extLst>
        </c:ser>
        <c:dLbls>
          <c:showLegendKey val="0"/>
          <c:showVal val="0"/>
          <c:showCatName val="0"/>
          <c:showSerName val="0"/>
          <c:showPercent val="0"/>
          <c:showBubbleSize val="0"/>
        </c:dLbls>
        <c:smooth val="0"/>
        <c:axId val="336160432"/>
        <c:axId val="336159256"/>
      </c:lineChart>
      <c:catAx>
        <c:axId val="336160432"/>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9256"/>
        <c:crosses val="autoZero"/>
        <c:auto val="1"/>
        <c:lblAlgn val="ctr"/>
        <c:lblOffset val="100"/>
        <c:noMultiLvlLbl val="0"/>
      </c:catAx>
      <c:valAx>
        <c:axId val="336159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0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'ouyenM 2017-19'!$A$40</c:f>
              <c:strCache>
                <c:ptCount val="1"/>
                <c:pt idx="0">
                  <c:v>NPV</c:v>
                </c:pt>
              </c:strCache>
            </c:strRef>
          </c:tx>
          <c:spPr>
            <a:ln w="28575" cap="rnd">
              <a:solidFill>
                <a:schemeClr val="tx1"/>
              </a:solidFill>
              <a:round/>
            </a:ln>
            <a:effectLst/>
          </c:spPr>
          <c:marker>
            <c:symbol val="none"/>
          </c:marker>
          <c:cat>
            <c:strRef>
              <c:f>'ouyenM 2017-19'!$B$39:$G$39</c:f>
              <c:strCache>
                <c:ptCount val="6"/>
                <c:pt idx="0">
                  <c:v>Y0</c:v>
                </c:pt>
                <c:pt idx="1">
                  <c:v>Y1</c:v>
                </c:pt>
                <c:pt idx="2">
                  <c:v>Y2</c:v>
                </c:pt>
                <c:pt idx="3">
                  <c:v>Y3</c:v>
                </c:pt>
                <c:pt idx="4">
                  <c:v>Y4</c:v>
                </c:pt>
                <c:pt idx="5">
                  <c:v>Y5</c:v>
                </c:pt>
              </c:strCache>
            </c:strRef>
          </c:cat>
          <c:val>
            <c:numRef>
              <c:f>'ouyenM 2017-19'!$B$40:$G$40</c:f>
              <c:numCache>
                <c:formatCode>#,##0</c:formatCode>
                <c:ptCount val="6"/>
                <c:pt idx="0">
                  <c:v>-65</c:v>
                </c:pt>
                <c:pt idx="1">
                  <c:v>117.54716981132071</c:v>
                </c:pt>
                <c:pt idx="2">
                  <c:v>184.29690281238868</c:v>
                </c:pt>
                <c:pt idx="3">
                  <c:v>264.48054434197348</c:v>
                </c:pt>
              </c:numCache>
            </c:numRef>
          </c:val>
          <c:smooth val="0"/>
          <c:extLst>
            <c:ext xmlns:c16="http://schemas.microsoft.com/office/drawing/2014/chart" uri="{C3380CC4-5D6E-409C-BE32-E72D297353CC}">
              <c16:uniqueId val="{00000000-BBD4-45E6-86D8-03EA86CDFE6B}"/>
            </c:ext>
          </c:extLst>
        </c:ser>
        <c:dLbls>
          <c:showLegendKey val="0"/>
          <c:showVal val="0"/>
          <c:showCatName val="0"/>
          <c:showSerName val="0"/>
          <c:showPercent val="0"/>
          <c:showBubbleSize val="0"/>
        </c:dLbls>
        <c:smooth val="0"/>
        <c:axId val="336153768"/>
        <c:axId val="336161216"/>
      </c:lineChart>
      <c:catAx>
        <c:axId val="336153768"/>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1216"/>
        <c:crosses val="autoZero"/>
        <c:auto val="1"/>
        <c:lblAlgn val="ctr"/>
        <c:lblOffset val="100"/>
        <c:noMultiLvlLbl val="0"/>
      </c:catAx>
      <c:valAx>
        <c:axId val="336161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3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lineChart>
        <c:grouping val="standard"/>
        <c:varyColors val="0"/>
        <c:ser>
          <c:idx val="0"/>
          <c:order val="0"/>
          <c:spPr>
            <a:ln w="28575" cap="rnd">
              <a:solidFill>
                <a:schemeClr val="accent2">
                  <a:shade val="76000"/>
                </a:schemeClr>
              </a:solidFill>
              <a:round/>
            </a:ln>
            <a:effectLst/>
          </c:spPr>
          <c:marker>
            <c:symbol val="none"/>
          </c:marker>
          <c:cat>
            <c:strRef>
              <c:f>'ButeB rip60 18-19'!$B$39:$D$39</c:f>
              <c:strCache>
                <c:ptCount val="3"/>
                <c:pt idx="0">
                  <c:v>Y0</c:v>
                </c:pt>
                <c:pt idx="1">
                  <c:v>Y1</c:v>
                </c:pt>
                <c:pt idx="2">
                  <c:v>Y2</c:v>
                </c:pt>
              </c:strCache>
            </c:strRef>
          </c:cat>
          <c:val>
            <c:numRef>
              <c:f>'ButeB rip60 18-19'!$B$40:$D$40</c:f>
              <c:numCache>
                <c:formatCode>#,##0</c:formatCode>
                <c:ptCount val="3"/>
                <c:pt idx="0">
                  <c:v>-85</c:v>
                </c:pt>
                <c:pt idx="1">
                  <c:v>-36.88679245283015</c:v>
                </c:pt>
                <c:pt idx="2">
                  <c:v>-80.496618013527936</c:v>
                </c:pt>
              </c:numCache>
            </c:numRef>
          </c:val>
          <c:smooth val="0"/>
          <c:extLst>
            <c:ext xmlns:c16="http://schemas.microsoft.com/office/drawing/2014/chart" uri="{C3380CC4-5D6E-409C-BE32-E72D297353CC}">
              <c16:uniqueId val="{00000000-D7C1-4DF8-ACC0-D0BDFEE0EF25}"/>
            </c:ext>
          </c:extLst>
        </c:ser>
        <c:ser>
          <c:idx val="1"/>
          <c:order val="1"/>
          <c:spPr>
            <a:ln w="28575" cap="rnd">
              <a:solidFill>
                <a:schemeClr val="accent2">
                  <a:tint val="77000"/>
                </a:schemeClr>
              </a:solidFill>
              <a:round/>
            </a:ln>
            <a:effectLst/>
          </c:spPr>
          <c:marker>
            <c:symbol val="none"/>
          </c:marker>
          <c:cat>
            <c:strRef>
              <c:f>'ButeB rip60 18-19'!$B$39:$D$39</c:f>
              <c:strCache>
                <c:ptCount val="3"/>
                <c:pt idx="0">
                  <c:v>Y0</c:v>
                </c:pt>
                <c:pt idx="1">
                  <c:v>Y1</c:v>
                </c:pt>
                <c:pt idx="2">
                  <c:v>Y2</c:v>
                </c:pt>
              </c:strCache>
            </c:strRef>
          </c:cat>
          <c:val>
            <c:numRef>
              <c:f>'ButeB rip60 18-19'!$B$41:$D$41</c:f>
              <c:numCache>
                <c:formatCode>General</c:formatCode>
                <c:ptCount val="3"/>
              </c:numCache>
            </c:numRef>
          </c:val>
          <c:smooth val="0"/>
          <c:extLst>
            <c:ext xmlns:c16="http://schemas.microsoft.com/office/drawing/2014/chart" uri="{C3380CC4-5D6E-409C-BE32-E72D297353CC}">
              <c16:uniqueId val="{00000001-D7C1-4DF8-ACC0-D0BDFEE0EF25}"/>
            </c:ext>
          </c:extLst>
        </c:ser>
        <c:dLbls>
          <c:showLegendKey val="0"/>
          <c:showVal val="0"/>
          <c:showCatName val="0"/>
          <c:showSerName val="0"/>
          <c:showPercent val="0"/>
          <c:showBubbleSize val="0"/>
        </c:dLbls>
        <c:smooth val="0"/>
        <c:axId val="336160432"/>
        <c:axId val="336159256"/>
      </c:lineChart>
      <c:catAx>
        <c:axId val="336160432"/>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9256"/>
        <c:crosses val="autoZero"/>
        <c:auto val="1"/>
        <c:lblAlgn val="ctr"/>
        <c:lblOffset val="100"/>
        <c:noMultiLvlLbl val="0"/>
      </c:catAx>
      <c:valAx>
        <c:axId val="336159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0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'ouyenM 2017-19'!$A$40</c:f>
              <c:strCache>
                <c:ptCount val="1"/>
                <c:pt idx="0">
                  <c:v>NPV</c:v>
                </c:pt>
              </c:strCache>
            </c:strRef>
          </c:tx>
          <c:spPr>
            <a:ln w="28575" cap="rnd">
              <a:solidFill>
                <a:schemeClr val="tx1"/>
              </a:solidFill>
              <a:round/>
            </a:ln>
            <a:effectLst/>
          </c:spPr>
          <c:marker>
            <c:symbol val="none"/>
          </c:marker>
          <c:cat>
            <c:strRef>
              <c:f>'ouyenM 2017-19'!$B$39:$G$39</c:f>
              <c:strCache>
                <c:ptCount val="6"/>
                <c:pt idx="0">
                  <c:v>Y0</c:v>
                </c:pt>
                <c:pt idx="1">
                  <c:v>Y1</c:v>
                </c:pt>
                <c:pt idx="2">
                  <c:v>Y2</c:v>
                </c:pt>
                <c:pt idx="3">
                  <c:v>Y3</c:v>
                </c:pt>
                <c:pt idx="4">
                  <c:v>Y4</c:v>
                </c:pt>
                <c:pt idx="5">
                  <c:v>Y5</c:v>
                </c:pt>
              </c:strCache>
            </c:strRef>
          </c:cat>
          <c:val>
            <c:numRef>
              <c:f>'ouyenM 2017-19'!$B$40:$G$40</c:f>
              <c:numCache>
                <c:formatCode>#,##0</c:formatCode>
                <c:ptCount val="6"/>
                <c:pt idx="0">
                  <c:v>-65</c:v>
                </c:pt>
                <c:pt idx="1">
                  <c:v>117.54716981132071</c:v>
                </c:pt>
                <c:pt idx="2">
                  <c:v>184.29690281238868</c:v>
                </c:pt>
                <c:pt idx="3">
                  <c:v>264.48054434197348</c:v>
                </c:pt>
              </c:numCache>
            </c:numRef>
          </c:val>
          <c:smooth val="0"/>
          <c:extLst>
            <c:ext xmlns:c16="http://schemas.microsoft.com/office/drawing/2014/chart" uri="{C3380CC4-5D6E-409C-BE32-E72D297353CC}">
              <c16:uniqueId val="{00000000-1370-40FA-962A-FC75505987CD}"/>
            </c:ext>
          </c:extLst>
        </c:ser>
        <c:dLbls>
          <c:showLegendKey val="0"/>
          <c:showVal val="0"/>
          <c:showCatName val="0"/>
          <c:showSerName val="0"/>
          <c:showPercent val="0"/>
          <c:showBubbleSize val="0"/>
        </c:dLbls>
        <c:smooth val="0"/>
        <c:axId val="336153768"/>
        <c:axId val="336161216"/>
      </c:lineChart>
      <c:catAx>
        <c:axId val="336153768"/>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1216"/>
        <c:crosses val="autoZero"/>
        <c:auto val="1"/>
        <c:lblAlgn val="ctr"/>
        <c:lblOffset val="100"/>
        <c:noMultiLvlLbl val="0"/>
      </c:catAx>
      <c:valAx>
        <c:axId val="336161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3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lineChart>
        <c:grouping val="standard"/>
        <c:varyColors val="0"/>
        <c:ser>
          <c:idx val="0"/>
          <c:order val="0"/>
          <c:spPr>
            <a:ln w="28575" cap="rnd">
              <a:solidFill>
                <a:schemeClr val="accent2"/>
              </a:solidFill>
              <a:round/>
            </a:ln>
            <a:effectLst/>
          </c:spPr>
          <c:marker>
            <c:symbol val="none"/>
          </c:marker>
          <c:cat>
            <c:strRef>
              <c:f>'ButeB rip inc 18-19'!$B$39:$D$39</c:f>
              <c:strCache>
                <c:ptCount val="3"/>
                <c:pt idx="0">
                  <c:v>Y0</c:v>
                </c:pt>
                <c:pt idx="1">
                  <c:v>Y1</c:v>
                </c:pt>
                <c:pt idx="2">
                  <c:v>Y2</c:v>
                </c:pt>
              </c:strCache>
            </c:strRef>
          </c:cat>
          <c:val>
            <c:numRef>
              <c:f>'ButeB rip inc 18-19'!$B$40:$D$40</c:f>
              <c:numCache>
                <c:formatCode>#,##0</c:formatCode>
                <c:ptCount val="3"/>
                <c:pt idx="0">
                  <c:v>-85</c:v>
                </c:pt>
                <c:pt idx="1">
                  <c:v>35.283018867924511</c:v>
                </c:pt>
                <c:pt idx="2">
                  <c:v>2.7981488074046581</c:v>
                </c:pt>
              </c:numCache>
            </c:numRef>
          </c:val>
          <c:smooth val="0"/>
          <c:extLst>
            <c:ext xmlns:c16="http://schemas.microsoft.com/office/drawing/2014/chart" uri="{C3380CC4-5D6E-409C-BE32-E72D297353CC}">
              <c16:uniqueId val="{00000000-6A79-4097-ACD4-3AA3BE8BC95D}"/>
            </c:ext>
          </c:extLst>
        </c:ser>
        <c:dLbls>
          <c:showLegendKey val="0"/>
          <c:showVal val="0"/>
          <c:showCatName val="0"/>
          <c:showSerName val="0"/>
          <c:showPercent val="0"/>
          <c:showBubbleSize val="0"/>
        </c:dLbls>
        <c:smooth val="0"/>
        <c:axId val="336160432"/>
        <c:axId val="336159256"/>
      </c:lineChart>
      <c:catAx>
        <c:axId val="336160432"/>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9256"/>
        <c:crosses val="autoZero"/>
        <c:auto val="1"/>
        <c:lblAlgn val="ctr"/>
        <c:lblOffset val="100"/>
        <c:noMultiLvlLbl val="0"/>
      </c:catAx>
      <c:valAx>
        <c:axId val="336159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0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'ouyenM 2017-19'!$A$40</c:f>
              <c:strCache>
                <c:ptCount val="1"/>
                <c:pt idx="0">
                  <c:v>NPV</c:v>
                </c:pt>
              </c:strCache>
            </c:strRef>
          </c:tx>
          <c:spPr>
            <a:ln w="28575" cap="rnd">
              <a:solidFill>
                <a:schemeClr val="tx1"/>
              </a:solidFill>
              <a:round/>
            </a:ln>
            <a:effectLst/>
          </c:spPr>
          <c:marker>
            <c:symbol val="none"/>
          </c:marker>
          <c:cat>
            <c:strRef>
              <c:f>'ouyenM 2017-19'!$B$39:$G$39</c:f>
              <c:strCache>
                <c:ptCount val="6"/>
                <c:pt idx="0">
                  <c:v>Y0</c:v>
                </c:pt>
                <c:pt idx="1">
                  <c:v>Y1</c:v>
                </c:pt>
                <c:pt idx="2">
                  <c:v>Y2</c:v>
                </c:pt>
                <c:pt idx="3">
                  <c:v>Y3</c:v>
                </c:pt>
                <c:pt idx="4">
                  <c:v>Y4</c:v>
                </c:pt>
                <c:pt idx="5">
                  <c:v>Y5</c:v>
                </c:pt>
              </c:strCache>
            </c:strRef>
          </c:cat>
          <c:val>
            <c:numRef>
              <c:f>'ouyenM 2017-19'!$B$40:$G$40</c:f>
              <c:numCache>
                <c:formatCode>#,##0</c:formatCode>
                <c:ptCount val="6"/>
                <c:pt idx="0">
                  <c:v>-65</c:v>
                </c:pt>
                <c:pt idx="1">
                  <c:v>117.54716981132071</c:v>
                </c:pt>
                <c:pt idx="2">
                  <c:v>184.29690281238868</c:v>
                </c:pt>
                <c:pt idx="3">
                  <c:v>264.48054434197348</c:v>
                </c:pt>
              </c:numCache>
            </c:numRef>
          </c:val>
          <c:smooth val="0"/>
          <c:extLst>
            <c:ext xmlns:c16="http://schemas.microsoft.com/office/drawing/2014/chart" uri="{C3380CC4-5D6E-409C-BE32-E72D297353CC}">
              <c16:uniqueId val="{00000000-EA71-44DF-9F3E-F79B1E99B6BE}"/>
            </c:ext>
          </c:extLst>
        </c:ser>
        <c:dLbls>
          <c:showLegendKey val="0"/>
          <c:showVal val="0"/>
          <c:showCatName val="0"/>
          <c:showSerName val="0"/>
          <c:showPercent val="0"/>
          <c:showBubbleSize val="0"/>
        </c:dLbls>
        <c:smooth val="0"/>
        <c:axId val="336153768"/>
        <c:axId val="336161216"/>
      </c:lineChart>
      <c:catAx>
        <c:axId val="336153768"/>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1216"/>
        <c:crosses val="autoZero"/>
        <c:auto val="1"/>
        <c:lblAlgn val="ctr"/>
        <c:lblOffset val="100"/>
        <c:noMultiLvlLbl val="0"/>
      </c:catAx>
      <c:valAx>
        <c:axId val="336161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3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lineChart>
        <c:grouping val="standard"/>
        <c:varyColors val="0"/>
        <c:ser>
          <c:idx val="0"/>
          <c:order val="0"/>
          <c:spPr>
            <a:ln w="28575" cap="rnd">
              <a:solidFill>
                <a:schemeClr val="accent2"/>
              </a:solidFill>
              <a:round/>
            </a:ln>
            <a:effectLst/>
          </c:spPr>
          <c:marker>
            <c:symbol val="none"/>
          </c:marker>
          <c:cat>
            <c:strRef>
              <c:f>'Carwarp  rip30 18-19'!$B$39:$D$39</c:f>
              <c:strCache>
                <c:ptCount val="3"/>
                <c:pt idx="0">
                  <c:v>Y0</c:v>
                </c:pt>
                <c:pt idx="1">
                  <c:v>Y1</c:v>
                </c:pt>
                <c:pt idx="2">
                  <c:v>Y2</c:v>
                </c:pt>
              </c:strCache>
            </c:strRef>
          </c:cat>
          <c:val>
            <c:numRef>
              <c:f>'Carwarp  rip30 18-19'!$B$40:$D$40</c:f>
              <c:numCache>
                <c:formatCode>#,##0</c:formatCode>
                <c:ptCount val="3"/>
                <c:pt idx="0">
                  <c:v>-65</c:v>
                </c:pt>
                <c:pt idx="1">
                  <c:v>22.216981132075446</c:v>
                </c:pt>
                <c:pt idx="2">
                  <c:v>8.4665361338554401</c:v>
                </c:pt>
              </c:numCache>
            </c:numRef>
          </c:val>
          <c:smooth val="0"/>
          <c:extLst>
            <c:ext xmlns:c16="http://schemas.microsoft.com/office/drawing/2014/chart" uri="{C3380CC4-5D6E-409C-BE32-E72D297353CC}">
              <c16:uniqueId val="{00000000-C014-468C-AABE-319FFE31FC43}"/>
            </c:ext>
          </c:extLst>
        </c:ser>
        <c:dLbls>
          <c:showLegendKey val="0"/>
          <c:showVal val="0"/>
          <c:showCatName val="0"/>
          <c:showSerName val="0"/>
          <c:showPercent val="0"/>
          <c:showBubbleSize val="0"/>
        </c:dLbls>
        <c:smooth val="0"/>
        <c:axId val="336160432"/>
        <c:axId val="336159256"/>
      </c:lineChart>
      <c:catAx>
        <c:axId val="336160432"/>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9256"/>
        <c:crosses val="autoZero"/>
        <c:auto val="1"/>
        <c:lblAlgn val="ctr"/>
        <c:lblOffset val="100"/>
        <c:noMultiLvlLbl val="0"/>
      </c:catAx>
      <c:valAx>
        <c:axId val="336159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0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'ouyenM 2017-19'!$A$40</c:f>
              <c:strCache>
                <c:ptCount val="1"/>
                <c:pt idx="0">
                  <c:v>NPV</c:v>
                </c:pt>
              </c:strCache>
            </c:strRef>
          </c:tx>
          <c:spPr>
            <a:ln w="28575" cap="rnd">
              <a:solidFill>
                <a:schemeClr val="tx1"/>
              </a:solidFill>
              <a:round/>
            </a:ln>
            <a:effectLst/>
          </c:spPr>
          <c:marker>
            <c:symbol val="none"/>
          </c:marker>
          <c:cat>
            <c:strRef>
              <c:f>'ouyenM 2017-19'!$B$39:$G$39</c:f>
              <c:strCache>
                <c:ptCount val="6"/>
                <c:pt idx="0">
                  <c:v>Y0</c:v>
                </c:pt>
                <c:pt idx="1">
                  <c:v>Y1</c:v>
                </c:pt>
                <c:pt idx="2">
                  <c:v>Y2</c:v>
                </c:pt>
                <c:pt idx="3">
                  <c:v>Y3</c:v>
                </c:pt>
                <c:pt idx="4">
                  <c:v>Y4</c:v>
                </c:pt>
                <c:pt idx="5">
                  <c:v>Y5</c:v>
                </c:pt>
              </c:strCache>
            </c:strRef>
          </c:cat>
          <c:val>
            <c:numRef>
              <c:f>'ouyenM 2017-19'!$B$40:$G$40</c:f>
              <c:numCache>
                <c:formatCode>#,##0</c:formatCode>
                <c:ptCount val="6"/>
                <c:pt idx="0">
                  <c:v>-65</c:v>
                </c:pt>
                <c:pt idx="1">
                  <c:v>117.54716981132071</c:v>
                </c:pt>
                <c:pt idx="2">
                  <c:v>184.29690281238868</c:v>
                </c:pt>
                <c:pt idx="3">
                  <c:v>264.48054434197348</c:v>
                </c:pt>
              </c:numCache>
            </c:numRef>
          </c:val>
          <c:smooth val="0"/>
          <c:extLst>
            <c:ext xmlns:c16="http://schemas.microsoft.com/office/drawing/2014/chart" uri="{C3380CC4-5D6E-409C-BE32-E72D297353CC}">
              <c16:uniqueId val="{00000000-5E3A-4838-A9A0-6210B8A22D0F}"/>
            </c:ext>
          </c:extLst>
        </c:ser>
        <c:dLbls>
          <c:showLegendKey val="0"/>
          <c:showVal val="0"/>
          <c:showCatName val="0"/>
          <c:showSerName val="0"/>
          <c:showPercent val="0"/>
          <c:showBubbleSize val="0"/>
        </c:dLbls>
        <c:smooth val="0"/>
        <c:axId val="336153768"/>
        <c:axId val="336161216"/>
      </c:lineChart>
      <c:catAx>
        <c:axId val="336153768"/>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1216"/>
        <c:crosses val="autoZero"/>
        <c:auto val="1"/>
        <c:lblAlgn val="ctr"/>
        <c:lblOffset val="100"/>
        <c:noMultiLvlLbl val="0"/>
      </c:catAx>
      <c:valAx>
        <c:axId val="336161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3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lineChart>
        <c:grouping val="standard"/>
        <c:varyColors val="0"/>
        <c:ser>
          <c:idx val="0"/>
          <c:order val="0"/>
          <c:spPr>
            <a:ln w="28575" cap="rnd">
              <a:solidFill>
                <a:schemeClr val="accent2"/>
              </a:solidFill>
              <a:round/>
            </a:ln>
            <a:effectLst/>
          </c:spPr>
          <c:marker>
            <c:symbol val="none"/>
          </c:marker>
          <c:cat>
            <c:strRef>
              <c:f>'Carwarp rip60 18-19'!$B$39:$D$39</c:f>
              <c:strCache>
                <c:ptCount val="3"/>
                <c:pt idx="0">
                  <c:v>Y0</c:v>
                </c:pt>
                <c:pt idx="1">
                  <c:v>Y1</c:v>
                </c:pt>
                <c:pt idx="2">
                  <c:v>Y2</c:v>
                </c:pt>
              </c:strCache>
            </c:strRef>
          </c:cat>
          <c:val>
            <c:numRef>
              <c:f>'Carwarp rip60 18-19'!$B$40:$D$40</c:f>
              <c:numCache>
                <c:formatCode>#,##0</c:formatCode>
                <c:ptCount val="3"/>
                <c:pt idx="0">
                  <c:v>-85</c:v>
                </c:pt>
                <c:pt idx="1">
                  <c:v>34.669811320754675</c:v>
                </c:pt>
                <c:pt idx="2">
                  <c:v>-85.479708081167729</c:v>
                </c:pt>
              </c:numCache>
            </c:numRef>
          </c:val>
          <c:smooth val="0"/>
          <c:extLst>
            <c:ext xmlns:c16="http://schemas.microsoft.com/office/drawing/2014/chart" uri="{C3380CC4-5D6E-409C-BE32-E72D297353CC}">
              <c16:uniqueId val="{00000000-8C31-4F31-B51A-EA2E705995EE}"/>
            </c:ext>
          </c:extLst>
        </c:ser>
        <c:dLbls>
          <c:showLegendKey val="0"/>
          <c:showVal val="0"/>
          <c:showCatName val="0"/>
          <c:showSerName val="0"/>
          <c:showPercent val="0"/>
          <c:showBubbleSize val="0"/>
        </c:dLbls>
        <c:smooth val="0"/>
        <c:axId val="336160432"/>
        <c:axId val="336159256"/>
      </c:lineChart>
      <c:catAx>
        <c:axId val="336160432"/>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9256"/>
        <c:crosses val="autoZero"/>
        <c:auto val="1"/>
        <c:lblAlgn val="ctr"/>
        <c:lblOffset val="100"/>
        <c:noMultiLvlLbl val="0"/>
      </c:catAx>
      <c:valAx>
        <c:axId val="336159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0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'ouyenM 2017-19'!$A$40</c:f>
              <c:strCache>
                <c:ptCount val="1"/>
                <c:pt idx="0">
                  <c:v>NPV</c:v>
                </c:pt>
              </c:strCache>
            </c:strRef>
          </c:tx>
          <c:spPr>
            <a:ln w="28575" cap="rnd">
              <a:solidFill>
                <a:schemeClr val="tx1"/>
              </a:solidFill>
              <a:round/>
            </a:ln>
            <a:effectLst/>
          </c:spPr>
          <c:marker>
            <c:symbol val="none"/>
          </c:marker>
          <c:cat>
            <c:strRef>
              <c:f>'ouyenM 2017-19'!$B$39:$G$39</c:f>
              <c:strCache>
                <c:ptCount val="6"/>
                <c:pt idx="0">
                  <c:v>Y0</c:v>
                </c:pt>
                <c:pt idx="1">
                  <c:v>Y1</c:v>
                </c:pt>
                <c:pt idx="2">
                  <c:v>Y2</c:v>
                </c:pt>
                <c:pt idx="3">
                  <c:v>Y3</c:v>
                </c:pt>
                <c:pt idx="4">
                  <c:v>Y4</c:v>
                </c:pt>
                <c:pt idx="5">
                  <c:v>Y5</c:v>
                </c:pt>
              </c:strCache>
            </c:strRef>
          </c:cat>
          <c:val>
            <c:numRef>
              <c:f>'ouyenM 2017-19'!$B$40:$G$40</c:f>
              <c:numCache>
                <c:formatCode>#,##0</c:formatCode>
                <c:ptCount val="6"/>
                <c:pt idx="0">
                  <c:v>-65</c:v>
                </c:pt>
                <c:pt idx="1">
                  <c:v>117.54716981132071</c:v>
                </c:pt>
                <c:pt idx="2">
                  <c:v>184.29690281238868</c:v>
                </c:pt>
                <c:pt idx="3">
                  <c:v>264.48054434197348</c:v>
                </c:pt>
              </c:numCache>
            </c:numRef>
          </c:val>
          <c:smooth val="0"/>
          <c:extLst>
            <c:ext xmlns:c16="http://schemas.microsoft.com/office/drawing/2014/chart" uri="{C3380CC4-5D6E-409C-BE32-E72D297353CC}">
              <c16:uniqueId val="{00000000-94B3-4E5C-8150-9C2C25F91939}"/>
            </c:ext>
          </c:extLst>
        </c:ser>
        <c:dLbls>
          <c:showLegendKey val="0"/>
          <c:showVal val="0"/>
          <c:showCatName val="0"/>
          <c:showSerName val="0"/>
          <c:showPercent val="0"/>
          <c:showBubbleSize val="0"/>
        </c:dLbls>
        <c:smooth val="0"/>
        <c:axId val="336153768"/>
        <c:axId val="336161216"/>
      </c:lineChart>
      <c:catAx>
        <c:axId val="336153768"/>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1216"/>
        <c:crosses val="autoZero"/>
        <c:auto val="1"/>
        <c:lblAlgn val="ctr"/>
        <c:lblOffset val="100"/>
        <c:noMultiLvlLbl val="0"/>
      </c:catAx>
      <c:valAx>
        <c:axId val="336161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3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lineChart>
        <c:grouping val="standard"/>
        <c:varyColors val="0"/>
        <c:ser>
          <c:idx val="0"/>
          <c:order val="0"/>
          <c:spPr>
            <a:ln w="28575" cap="rnd">
              <a:solidFill>
                <a:schemeClr val="accent2"/>
              </a:solidFill>
              <a:round/>
            </a:ln>
            <a:effectLst/>
          </c:spPr>
          <c:marker>
            <c:symbol val="none"/>
          </c:marker>
          <c:cat>
            <c:strRef>
              <c:f>'Carwarp spade 18-19'!$B$39:$D$39</c:f>
              <c:strCache>
                <c:ptCount val="3"/>
                <c:pt idx="0">
                  <c:v>Y0</c:v>
                </c:pt>
                <c:pt idx="1">
                  <c:v>Y1</c:v>
                </c:pt>
                <c:pt idx="2">
                  <c:v>Y2</c:v>
                </c:pt>
              </c:strCache>
            </c:strRef>
          </c:cat>
          <c:val>
            <c:numRef>
              <c:f>'Carwarp spade 18-19'!$B$40:$D$40</c:f>
              <c:numCache>
                <c:formatCode>#,##0</c:formatCode>
                <c:ptCount val="3"/>
                <c:pt idx="0">
                  <c:v>-150</c:v>
                </c:pt>
                <c:pt idx="1">
                  <c:v>-48.584905660377373</c:v>
                </c:pt>
                <c:pt idx="2">
                  <c:v>-105.05517977928091</c:v>
                </c:pt>
              </c:numCache>
            </c:numRef>
          </c:val>
          <c:smooth val="0"/>
          <c:extLst>
            <c:ext xmlns:c16="http://schemas.microsoft.com/office/drawing/2014/chart" uri="{C3380CC4-5D6E-409C-BE32-E72D297353CC}">
              <c16:uniqueId val="{00000000-0433-4AE1-9180-EBA51EDE1518}"/>
            </c:ext>
          </c:extLst>
        </c:ser>
        <c:dLbls>
          <c:showLegendKey val="0"/>
          <c:showVal val="0"/>
          <c:showCatName val="0"/>
          <c:showSerName val="0"/>
          <c:showPercent val="0"/>
          <c:showBubbleSize val="0"/>
        </c:dLbls>
        <c:smooth val="0"/>
        <c:axId val="336160432"/>
        <c:axId val="336159256"/>
      </c:lineChart>
      <c:catAx>
        <c:axId val="336160432"/>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9256"/>
        <c:crosses val="autoZero"/>
        <c:auto val="1"/>
        <c:lblAlgn val="ctr"/>
        <c:lblOffset val="100"/>
        <c:noMultiLvlLbl val="0"/>
      </c:catAx>
      <c:valAx>
        <c:axId val="336159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0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'ouyenM 2017-19'!$A$40</c:f>
              <c:strCache>
                <c:ptCount val="1"/>
                <c:pt idx="0">
                  <c:v>NPV</c:v>
                </c:pt>
              </c:strCache>
            </c:strRef>
          </c:tx>
          <c:spPr>
            <a:ln w="28575" cap="rnd">
              <a:solidFill>
                <a:schemeClr val="tx1"/>
              </a:solidFill>
              <a:round/>
            </a:ln>
            <a:effectLst/>
          </c:spPr>
          <c:marker>
            <c:symbol val="none"/>
          </c:marker>
          <c:cat>
            <c:strRef>
              <c:f>'ouyenM 2017-19'!$B$39:$G$39</c:f>
              <c:strCache>
                <c:ptCount val="6"/>
                <c:pt idx="0">
                  <c:v>Y0</c:v>
                </c:pt>
                <c:pt idx="1">
                  <c:v>Y1</c:v>
                </c:pt>
                <c:pt idx="2">
                  <c:v>Y2</c:v>
                </c:pt>
                <c:pt idx="3">
                  <c:v>Y3</c:v>
                </c:pt>
                <c:pt idx="4">
                  <c:v>Y4</c:v>
                </c:pt>
                <c:pt idx="5">
                  <c:v>Y5</c:v>
                </c:pt>
              </c:strCache>
            </c:strRef>
          </c:cat>
          <c:val>
            <c:numRef>
              <c:f>'ouyenM 2017-19'!$B$40:$G$40</c:f>
              <c:numCache>
                <c:formatCode>#,##0</c:formatCode>
                <c:ptCount val="6"/>
                <c:pt idx="0">
                  <c:v>-65</c:v>
                </c:pt>
                <c:pt idx="1">
                  <c:v>117.54716981132071</c:v>
                </c:pt>
                <c:pt idx="2">
                  <c:v>184.29690281238868</c:v>
                </c:pt>
                <c:pt idx="3">
                  <c:v>264.48054434197348</c:v>
                </c:pt>
              </c:numCache>
            </c:numRef>
          </c:val>
          <c:smooth val="0"/>
          <c:extLst>
            <c:ext xmlns:c16="http://schemas.microsoft.com/office/drawing/2014/chart" uri="{C3380CC4-5D6E-409C-BE32-E72D297353CC}">
              <c16:uniqueId val="{00000000-A840-46EB-B251-562FAD0A0230}"/>
            </c:ext>
          </c:extLst>
        </c:ser>
        <c:dLbls>
          <c:showLegendKey val="0"/>
          <c:showVal val="0"/>
          <c:showCatName val="0"/>
          <c:showSerName val="0"/>
          <c:showPercent val="0"/>
          <c:showBubbleSize val="0"/>
        </c:dLbls>
        <c:smooth val="0"/>
        <c:axId val="336153768"/>
        <c:axId val="336161216"/>
      </c:lineChart>
      <c:catAx>
        <c:axId val="336153768"/>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1216"/>
        <c:crosses val="autoZero"/>
        <c:auto val="1"/>
        <c:lblAlgn val="ctr"/>
        <c:lblOffset val="100"/>
        <c:noMultiLvlLbl val="0"/>
      </c:catAx>
      <c:valAx>
        <c:axId val="336161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3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lineChart>
        <c:grouping val="standard"/>
        <c:varyColors val="0"/>
        <c:ser>
          <c:idx val="0"/>
          <c:order val="0"/>
          <c:spPr>
            <a:ln w="28575" cap="rnd">
              <a:solidFill>
                <a:schemeClr val="dk1">
                  <a:tint val="88500"/>
                </a:schemeClr>
              </a:solidFill>
              <a:round/>
            </a:ln>
            <a:effectLst/>
          </c:spPr>
          <c:marker>
            <c:symbol val="none"/>
          </c:marker>
          <c:cat>
            <c:strRef>
              <c:f>'Ouyen spade 2017-18'!$B$39:$D$39</c:f>
              <c:strCache>
                <c:ptCount val="3"/>
                <c:pt idx="0">
                  <c:v>Y0</c:v>
                </c:pt>
                <c:pt idx="1">
                  <c:v>Y1</c:v>
                </c:pt>
                <c:pt idx="2">
                  <c:v>Y2</c:v>
                </c:pt>
              </c:strCache>
            </c:strRef>
          </c:cat>
          <c:val>
            <c:numRef>
              <c:f>'Ouyen spade 2017-18'!$B$40:$D$40</c:f>
              <c:numCache>
                <c:formatCode>#,##0</c:formatCode>
                <c:ptCount val="3"/>
                <c:pt idx="0">
                  <c:v>-150</c:v>
                </c:pt>
                <c:pt idx="1">
                  <c:v>73.113207547169822</c:v>
                </c:pt>
                <c:pt idx="2">
                  <c:v>93.672125311498775</c:v>
                </c:pt>
              </c:numCache>
            </c:numRef>
          </c:val>
          <c:smooth val="0"/>
          <c:extLst>
            <c:ext xmlns:c16="http://schemas.microsoft.com/office/drawing/2014/chart" uri="{C3380CC4-5D6E-409C-BE32-E72D297353CC}">
              <c16:uniqueId val="{00000000-9F9B-42F3-B84A-31CC96C5F33C}"/>
            </c:ext>
          </c:extLst>
        </c:ser>
        <c:dLbls>
          <c:showLegendKey val="0"/>
          <c:showVal val="0"/>
          <c:showCatName val="0"/>
          <c:showSerName val="0"/>
          <c:showPercent val="0"/>
          <c:showBubbleSize val="0"/>
        </c:dLbls>
        <c:smooth val="0"/>
        <c:axId val="336160432"/>
        <c:axId val="336159256"/>
      </c:lineChart>
      <c:catAx>
        <c:axId val="336160432"/>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9256"/>
        <c:crosses val="autoZero"/>
        <c:auto val="1"/>
        <c:lblAlgn val="ctr"/>
        <c:lblOffset val="100"/>
        <c:noMultiLvlLbl val="0"/>
      </c:catAx>
      <c:valAx>
        <c:axId val="336159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0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'ouyenM 2017-19'!$A$40</c:f>
              <c:strCache>
                <c:ptCount val="1"/>
                <c:pt idx="0">
                  <c:v>NPV</c:v>
                </c:pt>
              </c:strCache>
            </c:strRef>
          </c:tx>
          <c:spPr>
            <a:ln w="28575" cap="rnd">
              <a:solidFill>
                <a:schemeClr val="tx1"/>
              </a:solidFill>
              <a:round/>
            </a:ln>
            <a:effectLst/>
          </c:spPr>
          <c:marker>
            <c:symbol val="none"/>
          </c:marker>
          <c:cat>
            <c:strRef>
              <c:f>'ouyenM 2017-19'!$B$39:$G$39</c:f>
              <c:strCache>
                <c:ptCount val="6"/>
                <c:pt idx="0">
                  <c:v>Y0</c:v>
                </c:pt>
                <c:pt idx="1">
                  <c:v>Y1</c:v>
                </c:pt>
                <c:pt idx="2">
                  <c:v>Y2</c:v>
                </c:pt>
                <c:pt idx="3">
                  <c:v>Y3</c:v>
                </c:pt>
                <c:pt idx="4">
                  <c:v>Y4</c:v>
                </c:pt>
                <c:pt idx="5">
                  <c:v>Y5</c:v>
                </c:pt>
              </c:strCache>
            </c:strRef>
          </c:cat>
          <c:val>
            <c:numRef>
              <c:f>'ouyenM 2017-19'!$B$40:$G$40</c:f>
              <c:numCache>
                <c:formatCode>#,##0</c:formatCode>
                <c:ptCount val="6"/>
                <c:pt idx="0">
                  <c:v>-65</c:v>
                </c:pt>
                <c:pt idx="1">
                  <c:v>117.54716981132071</c:v>
                </c:pt>
                <c:pt idx="2">
                  <c:v>184.29690281238868</c:v>
                </c:pt>
                <c:pt idx="3">
                  <c:v>264.48054434197348</c:v>
                </c:pt>
              </c:numCache>
            </c:numRef>
          </c:val>
          <c:smooth val="0"/>
          <c:extLst>
            <c:ext xmlns:c16="http://schemas.microsoft.com/office/drawing/2014/chart" uri="{C3380CC4-5D6E-409C-BE32-E72D297353CC}">
              <c16:uniqueId val="{00000000-16BA-445E-B7EE-69A8D848F608}"/>
            </c:ext>
          </c:extLst>
        </c:ser>
        <c:dLbls>
          <c:showLegendKey val="0"/>
          <c:showVal val="0"/>
          <c:showCatName val="0"/>
          <c:showSerName val="0"/>
          <c:showPercent val="0"/>
          <c:showBubbleSize val="0"/>
        </c:dLbls>
        <c:smooth val="0"/>
        <c:axId val="336153768"/>
        <c:axId val="336161216"/>
      </c:lineChart>
      <c:catAx>
        <c:axId val="336153768"/>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1216"/>
        <c:crosses val="autoZero"/>
        <c:auto val="1"/>
        <c:lblAlgn val="ctr"/>
        <c:lblOffset val="100"/>
        <c:noMultiLvlLbl val="0"/>
      </c:catAx>
      <c:valAx>
        <c:axId val="336161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3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lineChart>
        <c:grouping val="standard"/>
        <c:varyColors val="0"/>
        <c:ser>
          <c:idx val="0"/>
          <c:order val="0"/>
          <c:spPr>
            <a:ln w="28575" cap="rnd">
              <a:solidFill>
                <a:schemeClr val="accent2"/>
              </a:solidFill>
              <a:round/>
            </a:ln>
            <a:effectLst/>
          </c:spPr>
          <c:marker>
            <c:symbol val="none"/>
          </c:marker>
          <c:cat>
            <c:strRef>
              <c:f>'Waikerie Rip 30 18-19'!$B$39:$D$39</c:f>
              <c:strCache>
                <c:ptCount val="3"/>
                <c:pt idx="0">
                  <c:v>Y0</c:v>
                </c:pt>
                <c:pt idx="1">
                  <c:v>Y1</c:v>
                </c:pt>
                <c:pt idx="2">
                  <c:v>Y2</c:v>
                </c:pt>
              </c:strCache>
            </c:strRef>
          </c:cat>
          <c:val>
            <c:numRef>
              <c:f>'Waikerie Rip 30 18-19'!$B$40:$D$40</c:f>
              <c:numCache>
                <c:formatCode>#,##0</c:formatCode>
                <c:ptCount val="3"/>
                <c:pt idx="0">
                  <c:v>-65</c:v>
                </c:pt>
                <c:pt idx="1">
                  <c:v>-65</c:v>
                </c:pt>
                <c:pt idx="2">
                  <c:v>-84.134923460306169</c:v>
                </c:pt>
              </c:numCache>
            </c:numRef>
          </c:val>
          <c:smooth val="0"/>
          <c:extLst>
            <c:ext xmlns:c16="http://schemas.microsoft.com/office/drawing/2014/chart" uri="{C3380CC4-5D6E-409C-BE32-E72D297353CC}">
              <c16:uniqueId val="{00000000-6C98-4743-8F6A-7977ED2775BE}"/>
            </c:ext>
          </c:extLst>
        </c:ser>
        <c:dLbls>
          <c:showLegendKey val="0"/>
          <c:showVal val="0"/>
          <c:showCatName val="0"/>
          <c:showSerName val="0"/>
          <c:showPercent val="0"/>
          <c:showBubbleSize val="0"/>
        </c:dLbls>
        <c:smooth val="0"/>
        <c:axId val="336160432"/>
        <c:axId val="336159256"/>
      </c:lineChart>
      <c:catAx>
        <c:axId val="336160432"/>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9256"/>
        <c:crosses val="autoZero"/>
        <c:auto val="1"/>
        <c:lblAlgn val="ctr"/>
        <c:lblOffset val="100"/>
        <c:noMultiLvlLbl val="0"/>
      </c:catAx>
      <c:valAx>
        <c:axId val="336159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0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'ouyenM 2017-19'!$A$40</c:f>
              <c:strCache>
                <c:ptCount val="1"/>
                <c:pt idx="0">
                  <c:v>NPV</c:v>
                </c:pt>
              </c:strCache>
            </c:strRef>
          </c:tx>
          <c:spPr>
            <a:ln w="28575" cap="rnd">
              <a:solidFill>
                <a:schemeClr val="tx1"/>
              </a:solidFill>
              <a:round/>
            </a:ln>
            <a:effectLst/>
          </c:spPr>
          <c:marker>
            <c:symbol val="none"/>
          </c:marker>
          <c:cat>
            <c:strRef>
              <c:f>'ouyenM 2017-19'!$B$39:$G$39</c:f>
              <c:strCache>
                <c:ptCount val="6"/>
                <c:pt idx="0">
                  <c:v>Y0</c:v>
                </c:pt>
                <c:pt idx="1">
                  <c:v>Y1</c:v>
                </c:pt>
                <c:pt idx="2">
                  <c:v>Y2</c:v>
                </c:pt>
                <c:pt idx="3">
                  <c:v>Y3</c:v>
                </c:pt>
                <c:pt idx="4">
                  <c:v>Y4</c:v>
                </c:pt>
                <c:pt idx="5">
                  <c:v>Y5</c:v>
                </c:pt>
              </c:strCache>
            </c:strRef>
          </c:cat>
          <c:val>
            <c:numRef>
              <c:f>'ouyenM 2017-19'!$B$40:$G$40</c:f>
              <c:numCache>
                <c:formatCode>#,##0</c:formatCode>
                <c:ptCount val="6"/>
                <c:pt idx="0">
                  <c:v>-65</c:v>
                </c:pt>
                <c:pt idx="1">
                  <c:v>117.54716981132071</c:v>
                </c:pt>
                <c:pt idx="2">
                  <c:v>184.29690281238868</c:v>
                </c:pt>
                <c:pt idx="3">
                  <c:v>264.48054434197348</c:v>
                </c:pt>
              </c:numCache>
            </c:numRef>
          </c:val>
          <c:smooth val="0"/>
          <c:extLst>
            <c:ext xmlns:c16="http://schemas.microsoft.com/office/drawing/2014/chart" uri="{C3380CC4-5D6E-409C-BE32-E72D297353CC}">
              <c16:uniqueId val="{00000000-8F05-4967-B6C3-D3C22903FDAE}"/>
            </c:ext>
          </c:extLst>
        </c:ser>
        <c:dLbls>
          <c:showLegendKey val="0"/>
          <c:showVal val="0"/>
          <c:showCatName val="0"/>
          <c:showSerName val="0"/>
          <c:showPercent val="0"/>
          <c:showBubbleSize val="0"/>
        </c:dLbls>
        <c:smooth val="0"/>
        <c:axId val="336153768"/>
        <c:axId val="336161216"/>
      </c:lineChart>
      <c:catAx>
        <c:axId val="336153768"/>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1216"/>
        <c:crosses val="autoZero"/>
        <c:auto val="1"/>
        <c:lblAlgn val="ctr"/>
        <c:lblOffset val="100"/>
        <c:noMultiLvlLbl val="0"/>
      </c:catAx>
      <c:valAx>
        <c:axId val="336161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3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lineChart>
        <c:grouping val="standard"/>
        <c:varyColors val="0"/>
        <c:ser>
          <c:idx val="0"/>
          <c:order val="0"/>
          <c:spPr>
            <a:ln w="28575" cap="rnd">
              <a:solidFill>
                <a:schemeClr val="accent2"/>
              </a:solidFill>
              <a:round/>
            </a:ln>
            <a:effectLst/>
          </c:spPr>
          <c:marker>
            <c:symbol val="none"/>
          </c:marker>
          <c:cat>
            <c:strRef>
              <c:f>'Waikerie Rip 60 18-19'!$B$39:$D$39</c:f>
              <c:strCache>
                <c:ptCount val="3"/>
                <c:pt idx="0">
                  <c:v>Y0</c:v>
                </c:pt>
                <c:pt idx="1">
                  <c:v>Y1</c:v>
                </c:pt>
                <c:pt idx="2">
                  <c:v>Y2</c:v>
                </c:pt>
              </c:strCache>
            </c:strRef>
          </c:cat>
          <c:val>
            <c:numRef>
              <c:f>'Waikerie Rip 60 18-19'!$B$40:$D$40</c:f>
              <c:numCache>
                <c:formatCode>#,##0</c:formatCode>
                <c:ptCount val="3"/>
                <c:pt idx="0">
                  <c:v>-85</c:v>
                </c:pt>
                <c:pt idx="1">
                  <c:v>-36.886792452830207</c:v>
                </c:pt>
                <c:pt idx="2">
                  <c:v>-137.90138839444643</c:v>
                </c:pt>
              </c:numCache>
            </c:numRef>
          </c:val>
          <c:smooth val="0"/>
          <c:extLst>
            <c:ext xmlns:c16="http://schemas.microsoft.com/office/drawing/2014/chart" uri="{C3380CC4-5D6E-409C-BE32-E72D297353CC}">
              <c16:uniqueId val="{00000000-A058-47CC-B9B5-814A5C039421}"/>
            </c:ext>
          </c:extLst>
        </c:ser>
        <c:dLbls>
          <c:showLegendKey val="0"/>
          <c:showVal val="0"/>
          <c:showCatName val="0"/>
          <c:showSerName val="0"/>
          <c:showPercent val="0"/>
          <c:showBubbleSize val="0"/>
        </c:dLbls>
        <c:smooth val="0"/>
        <c:axId val="336160432"/>
        <c:axId val="336159256"/>
      </c:lineChart>
      <c:catAx>
        <c:axId val="336160432"/>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9256"/>
        <c:crosses val="autoZero"/>
        <c:auto val="1"/>
        <c:lblAlgn val="ctr"/>
        <c:lblOffset val="100"/>
        <c:noMultiLvlLbl val="0"/>
      </c:catAx>
      <c:valAx>
        <c:axId val="336159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0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'ouyenM 2017-19'!$A$40</c:f>
              <c:strCache>
                <c:ptCount val="1"/>
                <c:pt idx="0">
                  <c:v>NPV</c:v>
                </c:pt>
              </c:strCache>
            </c:strRef>
          </c:tx>
          <c:spPr>
            <a:ln w="28575" cap="rnd">
              <a:solidFill>
                <a:schemeClr val="tx1"/>
              </a:solidFill>
              <a:round/>
            </a:ln>
            <a:effectLst/>
          </c:spPr>
          <c:marker>
            <c:symbol val="none"/>
          </c:marker>
          <c:cat>
            <c:strRef>
              <c:f>'ouyenM 2017-19'!$B$39:$G$39</c:f>
              <c:strCache>
                <c:ptCount val="6"/>
                <c:pt idx="0">
                  <c:v>Y0</c:v>
                </c:pt>
                <c:pt idx="1">
                  <c:v>Y1</c:v>
                </c:pt>
                <c:pt idx="2">
                  <c:v>Y2</c:v>
                </c:pt>
                <c:pt idx="3">
                  <c:v>Y3</c:v>
                </c:pt>
                <c:pt idx="4">
                  <c:v>Y4</c:v>
                </c:pt>
                <c:pt idx="5">
                  <c:v>Y5</c:v>
                </c:pt>
              </c:strCache>
            </c:strRef>
          </c:cat>
          <c:val>
            <c:numRef>
              <c:f>'ouyenM 2017-19'!$B$40:$G$40</c:f>
              <c:numCache>
                <c:formatCode>#,##0</c:formatCode>
                <c:ptCount val="6"/>
                <c:pt idx="0">
                  <c:v>-65</c:v>
                </c:pt>
                <c:pt idx="1">
                  <c:v>117.54716981132071</c:v>
                </c:pt>
                <c:pt idx="2">
                  <c:v>184.29690281238868</c:v>
                </c:pt>
                <c:pt idx="3">
                  <c:v>264.48054434197348</c:v>
                </c:pt>
              </c:numCache>
            </c:numRef>
          </c:val>
          <c:smooth val="0"/>
          <c:extLst>
            <c:ext xmlns:c16="http://schemas.microsoft.com/office/drawing/2014/chart" uri="{C3380CC4-5D6E-409C-BE32-E72D297353CC}">
              <c16:uniqueId val="{00000000-7EC0-444C-B0FF-004957B98D32}"/>
            </c:ext>
          </c:extLst>
        </c:ser>
        <c:dLbls>
          <c:showLegendKey val="0"/>
          <c:showVal val="0"/>
          <c:showCatName val="0"/>
          <c:showSerName val="0"/>
          <c:showPercent val="0"/>
          <c:showBubbleSize val="0"/>
        </c:dLbls>
        <c:smooth val="0"/>
        <c:axId val="336153768"/>
        <c:axId val="336161216"/>
      </c:lineChart>
      <c:catAx>
        <c:axId val="336153768"/>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1216"/>
        <c:crosses val="autoZero"/>
        <c:auto val="1"/>
        <c:lblAlgn val="ctr"/>
        <c:lblOffset val="100"/>
        <c:noMultiLvlLbl val="0"/>
      </c:catAx>
      <c:valAx>
        <c:axId val="336161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3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lineChart>
        <c:grouping val="standard"/>
        <c:varyColors val="0"/>
        <c:ser>
          <c:idx val="0"/>
          <c:order val="0"/>
          <c:spPr>
            <a:ln w="28575" cap="rnd">
              <a:solidFill>
                <a:schemeClr val="dk1">
                  <a:tint val="88500"/>
                </a:schemeClr>
              </a:solidFill>
              <a:round/>
            </a:ln>
            <a:effectLst/>
          </c:spPr>
          <c:marker>
            <c:symbol val="none"/>
          </c:marker>
          <c:cat>
            <c:strRef>
              <c:f>'Murlong rip inc 18-19'!$B$39:$D$39</c:f>
              <c:strCache>
                <c:ptCount val="3"/>
                <c:pt idx="0">
                  <c:v>Y0</c:v>
                </c:pt>
                <c:pt idx="1">
                  <c:v>Y1</c:v>
                </c:pt>
                <c:pt idx="2">
                  <c:v>Y2</c:v>
                </c:pt>
              </c:strCache>
            </c:strRef>
          </c:cat>
          <c:val>
            <c:numRef>
              <c:f>'Murlong rip inc 18-19'!$B$40:$D$40</c:f>
              <c:numCache>
                <c:formatCode>#,##0</c:formatCode>
                <c:ptCount val="3"/>
                <c:pt idx="0">
                  <c:v>-85</c:v>
                </c:pt>
                <c:pt idx="1">
                  <c:v>131.5094339622641</c:v>
                </c:pt>
                <c:pt idx="2">
                  <c:v>279.69384122463509</c:v>
                </c:pt>
              </c:numCache>
            </c:numRef>
          </c:val>
          <c:smooth val="0"/>
          <c:extLst>
            <c:ext xmlns:c16="http://schemas.microsoft.com/office/drawing/2014/chart" uri="{C3380CC4-5D6E-409C-BE32-E72D297353CC}">
              <c16:uniqueId val="{00000000-38F3-4ED5-821E-3A4D3497ABEA}"/>
            </c:ext>
          </c:extLst>
        </c:ser>
        <c:dLbls>
          <c:showLegendKey val="0"/>
          <c:showVal val="0"/>
          <c:showCatName val="0"/>
          <c:showSerName val="0"/>
          <c:showPercent val="0"/>
          <c:showBubbleSize val="0"/>
        </c:dLbls>
        <c:smooth val="0"/>
        <c:axId val="336160432"/>
        <c:axId val="336159256"/>
      </c:lineChart>
      <c:catAx>
        <c:axId val="336160432"/>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9256"/>
        <c:crosses val="autoZero"/>
        <c:auto val="1"/>
        <c:lblAlgn val="ctr"/>
        <c:lblOffset val="100"/>
        <c:noMultiLvlLbl val="0"/>
      </c:catAx>
      <c:valAx>
        <c:axId val="336159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0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'ouyenM 2017-19'!$A$40</c:f>
              <c:strCache>
                <c:ptCount val="1"/>
                <c:pt idx="0">
                  <c:v>NPV</c:v>
                </c:pt>
              </c:strCache>
            </c:strRef>
          </c:tx>
          <c:spPr>
            <a:ln w="28575" cap="rnd">
              <a:solidFill>
                <a:schemeClr val="tx1"/>
              </a:solidFill>
              <a:round/>
            </a:ln>
            <a:effectLst/>
          </c:spPr>
          <c:marker>
            <c:symbol val="none"/>
          </c:marker>
          <c:cat>
            <c:strRef>
              <c:f>'ouyenM 2017-19'!$B$39:$G$39</c:f>
              <c:strCache>
                <c:ptCount val="6"/>
                <c:pt idx="0">
                  <c:v>Y0</c:v>
                </c:pt>
                <c:pt idx="1">
                  <c:v>Y1</c:v>
                </c:pt>
                <c:pt idx="2">
                  <c:v>Y2</c:v>
                </c:pt>
                <c:pt idx="3">
                  <c:v>Y3</c:v>
                </c:pt>
                <c:pt idx="4">
                  <c:v>Y4</c:v>
                </c:pt>
                <c:pt idx="5">
                  <c:v>Y5</c:v>
                </c:pt>
              </c:strCache>
            </c:strRef>
          </c:cat>
          <c:val>
            <c:numRef>
              <c:f>'ouyenM 2017-19'!$B$40:$G$40</c:f>
              <c:numCache>
                <c:formatCode>#,##0</c:formatCode>
                <c:ptCount val="6"/>
                <c:pt idx="0">
                  <c:v>-65</c:v>
                </c:pt>
                <c:pt idx="1">
                  <c:v>117.54716981132071</c:v>
                </c:pt>
                <c:pt idx="2">
                  <c:v>184.29690281238868</c:v>
                </c:pt>
                <c:pt idx="3">
                  <c:v>264.48054434197348</c:v>
                </c:pt>
              </c:numCache>
            </c:numRef>
          </c:val>
          <c:smooth val="0"/>
          <c:extLst>
            <c:ext xmlns:c16="http://schemas.microsoft.com/office/drawing/2014/chart" uri="{C3380CC4-5D6E-409C-BE32-E72D297353CC}">
              <c16:uniqueId val="{00000000-14E0-41E3-8896-4863348E1BE0}"/>
            </c:ext>
          </c:extLst>
        </c:ser>
        <c:dLbls>
          <c:showLegendKey val="0"/>
          <c:showVal val="0"/>
          <c:showCatName val="0"/>
          <c:showSerName val="0"/>
          <c:showPercent val="0"/>
          <c:showBubbleSize val="0"/>
        </c:dLbls>
        <c:smooth val="0"/>
        <c:axId val="336153768"/>
        <c:axId val="336161216"/>
      </c:lineChart>
      <c:catAx>
        <c:axId val="336153768"/>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1216"/>
        <c:crosses val="autoZero"/>
        <c:auto val="1"/>
        <c:lblAlgn val="ctr"/>
        <c:lblOffset val="100"/>
        <c:noMultiLvlLbl val="0"/>
      </c:catAx>
      <c:valAx>
        <c:axId val="336161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3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lineChart>
        <c:grouping val="standard"/>
        <c:varyColors val="0"/>
        <c:ser>
          <c:idx val="0"/>
          <c:order val="0"/>
          <c:spPr>
            <a:ln w="28575" cap="rnd">
              <a:solidFill>
                <a:schemeClr val="dk1">
                  <a:tint val="88500"/>
                </a:schemeClr>
              </a:solidFill>
              <a:round/>
            </a:ln>
            <a:effectLst/>
          </c:spPr>
          <c:marker>
            <c:symbol val="none"/>
          </c:marker>
          <c:cat>
            <c:strRef>
              <c:f>'Murlong spade 18-19'!$B$39:$D$39</c:f>
              <c:strCache>
                <c:ptCount val="3"/>
                <c:pt idx="0">
                  <c:v>Y0</c:v>
                </c:pt>
                <c:pt idx="1">
                  <c:v>Y1</c:v>
                </c:pt>
                <c:pt idx="2">
                  <c:v>Y2</c:v>
                </c:pt>
              </c:strCache>
            </c:strRef>
          </c:cat>
          <c:val>
            <c:numRef>
              <c:f>'Murlong spade 18-19'!$B$40:$D$40</c:f>
              <c:numCache>
                <c:formatCode>#,##0</c:formatCode>
                <c:ptCount val="3"/>
                <c:pt idx="0">
                  <c:v>-150</c:v>
                </c:pt>
                <c:pt idx="1">
                  <c:v>186.79245283018867</c:v>
                </c:pt>
                <c:pt idx="2">
                  <c:v>359.89676041295832</c:v>
                </c:pt>
              </c:numCache>
            </c:numRef>
          </c:val>
          <c:smooth val="0"/>
          <c:extLst>
            <c:ext xmlns:c16="http://schemas.microsoft.com/office/drawing/2014/chart" uri="{C3380CC4-5D6E-409C-BE32-E72D297353CC}">
              <c16:uniqueId val="{00000000-CB4E-424A-AA0E-E99724D0C64F}"/>
            </c:ext>
          </c:extLst>
        </c:ser>
        <c:dLbls>
          <c:showLegendKey val="0"/>
          <c:showVal val="0"/>
          <c:showCatName val="0"/>
          <c:showSerName val="0"/>
          <c:showPercent val="0"/>
          <c:showBubbleSize val="0"/>
        </c:dLbls>
        <c:smooth val="0"/>
        <c:axId val="336160432"/>
        <c:axId val="336159256"/>
      </c:lineChart>
      <c:catAx>
        <c:axId val="336160432"/>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9256"/>
        <c:crosses val="autoZero"/>
        <c:auto val="1"/>
        <c:lblAlgn val="ctr"/>
        <c:lblOffset val="100"/>
        <c:noMultiLvlLbl val="0"/>
      </c:catAx>
      <c:valAx>
        <c:axId val="336159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0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'ouyenM 2017-19'!$A$40</c:f>
              <c:strCache>
                <c:ptCount val="1"/>
                <c:pt idx="0">
                  <c:v>NPV</c:v>
                </c:pt>
              </c:strCache>
            </c:strRef>
          </c:tx>
          <c:spPr>
            <a:ln w="28575" cap="rnd">
              <a:solidFill>
                <a:schemeClr val="tx1"/>
              </a:solidFill>
              <a:round/>
            </a:ln>
            <a:effectLst/>
          </c:spPr>
          <c:marker>
            <c:symbol val="none"/>
          </c:marker>
          <c:cat>
            <c:strRef>
              <c:f>'ouyenM 2017-19'!$B$39:$G$39</c:f>
              <c:strCache>
                <c:ptCount val="6"/>
                <c:pt idx="0">
                  <c:v>Y0</c:v>
                </c:pt>
                <c:pt idx="1">
                  <c:v>Y1</c:v>
                </c:pt>
                <c:pt idx="2">
                  <c:v>Y2</c:v>
                </c:pt>
                <c:pt idx="3">
                  <c:v>Y3</c:v>
                </c:pt>
                <c:pt idx="4">
                  <c:v>Y4</c:v>
                </c:pt>
                <c:pt idx="5">
                  <c:v>Y5</c:v>
                </c:pt>
              </c:strCache>
            </c:strRef>
          </c:cat>
          <c:val>
            <c:numRef>
              <c:f>'ouyenM 2017-19'!$B$40:$G$40</c:f>
              <c:numCache>
                <c:formatCode>#,##0</c:formatCode>
                <c:ptCount val="6"/>
                <c:pt idx="0">
                  <c:v>-65</c:v>
                </c:pt>
                <c:pt idx="1">
                  <c:v>117.54716981132071</c:v>
                </c:pt>
                <c:pt idx="2">
                  <c:v>184.29690281238868</c:v>
                </c:pt>
                <c:pt idx="3">
                  <c:v>264.48054434197348</c:v>
                </c:pt>
              </c:numCache>
            </c:numRef>
          </c:val>
          <c:smooth val="0"/>
          <c:extLst>
            <c:ext xmlns:c16="http://schemas.microsoft.com/office/drawing/2014/chart" uri="{C3380CC4-5D6E-409C-BE32-E72D297353CC}">
              <c16:uniqueId val="{00000000-4EC5-4241-8FA0-C68C591A3BA0}"/>
            </c:ext>
          </c:extLst>
        </c:ser>
        <c:dLbls>
          <c:showLegendKey val="0"/>
          <c:showVal val="0"/>
          <c:showCatName val="0"/>
          <c:showSerName val="0"/>
          <c:showPercent val="0"/>
          <c:showBubbleSize val="0"/>
        </c:dLbls>
        <c:smooth val="0"/>
        <c:axId val="336153768"/>
        <c:axId val="336161216"/>
      </c:lineChart>
      <c:catAx>
        <c:axId val="336153768"/>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1216"/>
        <c:crosses val="autoZero"/>
        <c:auto val="1"/>
        <c:lblAlgn val="ctr"/>
        <c:lblOffset val="100"/>
        <c:noMultiLvlLbl val="0"/>
      </c:catAx>
      <c:valAx>
        <c:axId val="336161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3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tx1"/>
              </a:solidFill>
              <a:round/>
            </a:ln>
            <a:effectLst/>
          </c:spPr>
          <c:marker>
            <c:symbol val="none"/>
          </c:marker>
          <c:cat>
            <c:strRef>
              <c:f>'Karoonda NH 2012-17'!$B$39:$G$39</c:f>
              <c:strCache>
                <c:ptCount val="6"/>
                <c:pt idx="0">
                  <c:v>Y0</c:v>
                </c:pt>
                <c:pt idx="1">
                  <c:v>Y1</c:v>
                </c:pt>
                <c:pt idx="2">
                  <c:v>Y2</c:v>
                </c:pt>
                <c:pt idx="3">
                  <c:v>Y3</c:v>
                </c:pt>
                <c:pt idx="4">
                  <c:v>Y4</c:v>
                </c:pt>
                <c:pt idx="5">
                  <c:v>Y5</c:v>
                </c:pt>
              </c:strCache>
            </c:strRef>
          </c:cat>
          <c:val>
            <c:numRef>
              <c:f>'Karoonda NH 2012-17'!$B$40:$G$40</c:f>
              <c:numCache>
                <c:formatCode>#,##0</c:formatCode>
                <c:ptCount val="6"/>
                <c:pt idx="0">
                  <c:v>-1000</c:v>
                </c:pt>
                <c:pt idx="1">
                  <c:v>-627.12264150943406</c:v>
                </c:pt>
                <c:pt idx="2">
                  <c:v>-452.90583837664661</c:v>
                </c:pt>
                <c:pt idx="3">
                  <c:v>-377.28972574675743</c:v>
                </c:pt>
                <c:pt idx="4">
                  <c:v>-246.11901511454127</c:v>
                </c:pt>
                <c:pt idx="5">
                  <c:v>-251.83554013696661</c:v>
                </c:pt>
              </c:numCache>
            </c:numRef>
          </c:val>
          <c:smooth val="0"/>
          <c:extLst>
            <c:ext xmlns:c16="http://schemas.microsoft.com/office/drawing/2014/chart" uri="{C3380CC4-5D6E-409C-BE32-E72D297353CC}">
              <c16:uniqueId val="{00000000-5EC3-4249-ADF5-A4DA93BC5F34}"/>
            </c:ext>
          </c:extLst>
        </c:ser>
        <c:dLbls>
          <c:showLegendKey val="0"/>
          <c:showVal val="0"/>
          <c:showCatName val="0"/>
          <c:showSerName val="0"/>
          <c:showPercent val="0"/>
          <c:showBubbleSize val="0"/>
        </c:dLbls>
        <c:smooth val="0"/>
        <c:axId val="336160432"/>
        <c:axId val="336159256"/>
      </c:lineChart>
      <c:catAx>
        <c:axId val="336160432"/>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9256"/>
        <c:crosses val="autoZero"/>
        <c:auto val="1"/>
        <c:lblAlgn val="ctr"/>
        <c:lblOffset val="100"/>
        <c:noMultiLvlLbl val="0"/>
      </c:catAx>
      <c:valAx>
        <c:axId val="336159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0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'ouyenM 2017-19'!$A$40</c:f>
              <c:strCache>
                <c:ptCount val="1"/>
                <c:pt idx="0">
                  <c:v>NPV</c:v>
                </c:pt>
              </c:strCache>
            </c:strRef>
          </c:tx>
          <c:spPr>
            <a:ln w="28575" cap="rnd">
              <a:solidFill>
                <a:schemeClr val="tx1"/>
              </a:solidFill>
              <a:round/>
            </a:ln>
            <a:effectLst/>
          </c:spPr>
          <c:marker>
            <c:symbol val="none"/>
          </c:marker>
          <c:cat>
            <c:strRef>
              <c:f>'ouyenM 2017-19'!$B$39:$G$39</c:f>
              <c:strCache>
                <c:ptCount val="6"/>
                <c:pt idx="0">
                  <c:v>Y0</c:v>
                </c:pt>
                <c:pt idx="1">
                  <c:v>Y1</c:v>
                </c:pt>
                <c:pt idx="2">
                  <c:v>Y2</c:v>
                </c:pt>
                <c:pt idx="3">
                  <c:v>Y3</c:v>
                </c:pt>
                <c:pt idx="4">
                  <c:v>Y4</c:v>
                </c:pt>
                <c:pt idx="5">
                  <c:v>Y5</c:v>
                </c:pt>
              </c:strCache>
            </c:strRef>
          </c:cat>
          <c:val>
            <c:numRef>
              <c:f>'ouyenM 2017-19'!$B$40:$G$40</c:f>
              <c:numCache>
                <c:formatCode>#,##0</c:formatCode>
                <c:ptCount val="6"/>
                <c:pt idx="0">
                  <c:v>-65</c:v>
                </c:pt>
                <c:pt idx="1">
                  <c:v>117.54716981132071</c:v>
                </c:pt>
                <c:pt idx="2">
                  <c:v>184.29690281238868</c:v>
                </c:pt>
                <c:pt idx="3">
                  <c:v>264.48054434197348</c:v>
                </c:pt>
              </c:numCache>
            </c:numRef>
          </c:val>
          <c:smooth val="0"/>
          <c:extLst>
            <c:ext xmlns:c16="http://schemas.microsoft.com/office/drawing/2014/chart" uri="{C3380CC4-5D6E-409C-BE32-E72D297353CC}">
              <c16:uniqueId val="{00000000-DC9B-4362-ACAF-C1E21566E80C}"/>
            </c:ext>
          </c:extLst>
        </c:ser>
        <c:dLbls>
          <c:showLegendKey val="0"/>
          <c:showVal val="0"/>
          <c:showCatName val="0"/>
          <c:showSerName val="0"/>
          <c:showPercent val="0"/>
          <c:showBubbleSize val="0"/>
        </c:dLbls>
        <c:smooth val="0"/>
        <c:axId val="336153768"/>
        <c:axId val="336161216"/>
      </c:lineChart>
      <c:catAx>
        <c:axId val="336153768"/>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1216"/>
        <c:crosses val="autoZero"/>
        <c:auto val="1"/>
        <c:lblAlgn val="ctr"/>
        <c:lblOffset val="100"/>
        <c:noMultiLvlLbl val="0"/>
      </c:catAx>
      <c:valAx>
        <c:axId val="336161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3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tx1"/>
              </a:solidFill>
              <a:round/>
            </a:ln>
            <a:effectLst/>
          </c:spPr>
          <c:marker>
            <c:symbol val="none"/>
          </c:marker>
          <c:cat>
            <c:strRef>
              <c:f>'Karoonda NH 500 OM'!$B$39:$G$39</c:f>
              <c:strCache>
                <c:ptCount val="6"/>
                <c:pt idx="0">
                  <c:v>Y0</c:v>
                </c:pt>
                <c:pt idx="1">
                  <c:v>Y1</c:v>
                </c:pt>
                <c:pt idx="2">
                  <c:v>Y2</c:v>
                </c:pt>
                <c:pt idx="3">
                  <c:v>Y3</c:v>
                </c:pt>
                <c:pt idx="4">
                  <c:v>Y4</c:v>
                </c:pt>
                <c:pt idx="5">
                  <c:v>Y5</c:v>
                </c:pt>
              </c:strCache>
            </c:strRef>
          </c:cat>
          <c:val>
            <c:numRef>
              <c:f>'Karoonda NH 500 OM'!$B$40:$G$40</c:f>
              <c:numCache>
                <c:formatCode>#,##0</c:formatCode>
                <c:ptCount val="6"/>
                <c:pt idx="0">
                  <c:v>-500</c:v>
                </c:pt>
                <c:pt idx="1">
                  <c:v>-127.12264150943406</c:v>
                </c:pt>
                <c:pt idx="2">
                  <c:v>47.094161623353386</c:v>
                </c:pt>
                <c:pt idx="3">
                  <c:v>122.71027425324256</c:v>
                </c:pt>
                <c:pt idx="4">
                  <c:v>253.8809848854587</c:v>
                </c:pt>
                <c:pt idx="5">
                  <c:v>248.16445986303336</c:v>
                </c:pt>
              </c:numCache>
            </c:numRef>
          </c:val>
          <c:smooth val="0"/>
          <c:extLst>
            <c:ext xmlns:c16="http://schemas.microsoft.com/office/drawing/2014/chart" uri="{C3380CC4-5D6E-409C-BE32-E72D297353CC}">
              <c16:uniqueId val="{00000000-AD7B-4032-9B07-52DA59814DF4}"/>
            </c:ext>
          </c:extLst>
        </c:ser>
        <c:dLbls>
          <c:showLegendKey val="0"/>
          <c:showVal val="0"/>
          <c:showCatName val="0"/>
          <c:showSerName val="0"/>
          <c:showPercent val="0"/>
          <c:showBubbleSize val="0"/>
        </c:dLbls>
        <c:smooth val="0"/>
        <c:axId val="336160432"/>
        <c:axId val="336159256"/>
      </c:lineChart>
      <c:catAx>
        <c:axId val="336160432"/>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9256"/>
        <c:crosses val="autoZero"/>
        <c:auto val="1"/>
        <c:lblAlgn val="ctr"/>
        <c:lblOffset val="100"/>
        <c:noMultiLvlLbl val="0"/>
      </c:catAx>
      <c:valAx>
        <c:axId val="336159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0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'ouyenM 2017-19'!$A$40</c:f>
              <c:strCache>
                <c:ptCount val="1"/>
                <c:pt idx="0">
                  <c:v>NPV</c:v>
                </c:pt>
              </c:strCache>
            </c:strRef>
          </c:tx>
          <c:spPr>
            <a:ln w="28575" cap="rnd">
              <a:solidFill>
                <a:schemeClr val="tx1"/>
              </a:solidFill>
              <a:round/>
            </a:ln>
            <a:effectLst/>
          </c:spPr>
          <c:marker>
            <c:symbol val="none"/>
          </c:marker>
          <c:cat>
            <c:strRef>
              <c:f>'ouyenM 2017-19'!$B$39:$G$39</c:f>
              <c:strCache>
                <c:ptCount val="6"/>
                <c:pt idx="0">
                  <c:v>Y0</c:v>
                </c:pt>
                <c:pt idx="1">
                  <c:v>Y1</c:v>
                </c:pt>
                <c:pt idx="2">
                  <c:v>Y2</c:v>
                </c:pt>
                <c:pt idx="3">
                  <c:v>Y3</c:v>
                </c:pt>
                <c:pt idx="4">
                  <c:v>Y4</c:v>
                </c:pt>
                <c:pt idx="5">
                  <c:v>Y5</c:v>
                </c:pt>
              </c:strCache>
            </c:strRef>
          </c:cat>
          <c:val>
            <c:numRef>
              <c:f>'ouyenM 2017-19'!$B$40:$G$40</c:f>
              <c:numCache>
                <c:formatCode>#,##0</c:formatCode>
                <c:ptCount val="6"/>
                <c:pt idx="0">
                  <c:v>-65</c:v>
                </c:pt>
                <c:pt idx="1">
                  <c:v>117.54716981132071</c:v>
                </c:pt>
                <c:pt idx="2">
                  <c:v>184.29690281238868</c:v>
                </c:pt>
                <c:pt idx="3">
                  <c:v>264.48054434197348</c:v>
                </c:pt>
              </c:numCache>
            </c:numRef>
          </c:val>
          <c:smooth val="0"/>
          <c:extLst>
            <c:ext xmlns:c16="http://schemas.microsoft.com/office/drawing/2014/chart" uri="{C3380CC4-5D6E-409C-BE32-E72D297353CC}">
              <c16:uniqueId val="{00000000-FBE2-4510-8D90-4D2655351535}"/>
            </c:ext>
          </c:extLst>
        </c:ser>
        <c:dLbls>
          <c:showLegendKey val="0"/>
          <c:showVal val="0"/>
          <c:showCatName val="0"/>
          <c:showSerName val="0"/>
          <c:showPercent val="0"/>
          <c:showBubbleSize val="0"/>
        </c:dLbls>
        <c:smooth val="0"/>
        <c:axId val="336153768"/>
        <c:axId val="336161216"/>
      </c:lineChart>
      <c:catAx>
        <c:axId val="336153768"/>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1216"/>
        <c:crosses val="autoZero"/>
        <c:auto val="1"/>
        <c:lblAlgn val="ctr"/>
        <c:lblOffset val="100"/>
        <c:noMultiLvlLbl val="0"/>
      </c:catAx>
      <c:valAx>
        <c:axId val="336161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3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tx1"/>
              </a:solidFill>
              <a:round/>
            </a:ln>
            <a:effectLst/>
          </c:spPr>
          <c:marker>
            <c:symbol val="none"/>
          </c:marker>
          <c:cat>
            <c:strRef>
              <c:f>'Karoonda NH spade only'!$B$39:$G$39</c:f>
              <c:strCache>
                <c:ptCount val="6"/>
                <c:pt idx="0">
                  <c:v>Y0</c:v>
                </c:pt>
                <c:pt idx="1">
                  <c:v>Y1</c:v>
                </c:pt>
                <c:pt idx="2">
                  <c:v>Y2</c:v>
                </c:pt>
                <c:pt idx="3">
                  <c:v>Y3</c:v>
                </c:pt>
                <c:pt idx="4">
                  <c:v>Y4</c:v>
                </c:pt>
                <c:pt idx="5">
                  <c:v>Y5</c:v>
                </c:pt>
              </c:strCache>
            </c:strRef>
          </c:cat>
          <c:val>
            <c:numRef>
              <c:f>'Karoonda NH spade only'!$B$40:$G$40</c:f>
              <c:numCache>
                <c:formatCode>#,##0</c:formatCode>
                <c:ptCount val="6"/>
                <c:pt idx="0">
                  <c:v>-150</c:v>
                </c:pt>
                <c:pt idx="1">
                  <c:v>90.566037735849022</c:v>
                </c:pt>
                <c:pt idx="2">
                  <c:v>165.99323602705584</c:v>
                </c:pt>
                <c:pt idx="3">
                  <c:v>346.09157223748457</c:v>
                </c:pt>
                <c:pt idx="4">
                  <c:v>435.20210935176186</c:v>
                </c:pt>
                <c:pt idx="5">
                  <c:v>439.23730348523856</c:v>
                </c:pt>
              </c:numCache>
            </c:numRef>
          </c:val>
          <c:smooth val="0"/>
          <c:extLst>
            <c:ext xmlns:c16="http://schemas.microsoft.com/office/drawing/2014/chart" uri="{C3380CC4-5D6E-409C-BE32-E72D297353CC}">
              <c16:uniqueId val="{00000000-B548-4221-919B-6294AD60DD91}"/>
            </c:ext>
          </c:extLst>
        </c:ser>
        <c:dLbls>
          <c:showLegendKey val="0"/>
          <c:showVal val="0"/>
          <c:showCatName val="0"/>
          <c:showSerName val="0"/>
          <c:showPercent val="0"/>
          <c:showBubbleSize val="0"/>
        </c:dLbls>
        <c:smooth val="0"/>
        <c:axId val="336160432"/>
        <c:axId val="336159256"/>
      </c:lineChart>
      <c:catAx>
        <c:axId val="336160432"/>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59256"/>
        <c:crosses val="autoZero"/>
        <c:auto val="1"/>
        <c:lblAlgn val="ctr"/>
        <c:lblOffset val="100"/>
        <c:noMultiLvlLbl val="0"/>
      </c:catAx>
      <c:valAx>
        <c:axId val="336159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AU"/>
                  <a:t>Cumulative benefit-cost ($/ha NPV)</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336160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5">
  <a:schemeClr val="accent2"/>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5">
  <a:schemeClr val="accent2"/>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withinLinear" id="15">
  <a:schemeClr val="accent2"/>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withinLinear" id="15">
  <a:schemeClr val="accent2"/>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withinLinear" id="15">
  <a:schemeClr val="accent2"/>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withinLinear" id="15">
  <a:schemeClr val="accent2"/>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withinLinear" id="15">
  <a:schemeClr val="accent2"/>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31.xml"/><Relationship Id="rId1" Type="http://schemas.openxmlformats.org/officeDocument/2006/relationships/chart" Target="../charts/chart30.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xdr:from>
      <xdr:col>0</xdr:col>
      <xdr:colOff>2481514</xdr:colOff>
      <xdr:row>40</xdr:row>
      <xdr:rowOff>159919</xdr:rowOff>
    </xdr:from>
    <xdr:to>
      <xdr:col>5</xdr:col>
      <xdr:colOff>832185</xdr:colOff>
      <xdr:row>72</xdr:row>
      <xdr:rowOff>130342</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2481514</xdr:colOff>
      <xdr:row>40</xdr:row>
      <xdr:rowOff>159919</xdr:rowOff>
    </xdr:from>
    <xdr:to>
      <xdr:col>5</xdr:col>
      <xdr:colOff>832185</xdr:colOff>
      <xdr:row>72</xdr:row>
      <xdr:rowOff>130342</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2481514</xdr:colOff>
      <xdr:row>40</xdr:row>
      <xdr:rowOff>159919</xdr:rowOff>
    </xdr:from>
    <xdr:to>
      <xdr:col>5</xdr:col>
      <xdr:colOff>832185</xdr:colOff>
      <xdr:row>72</xdr:row>
      <xdr:rowOff>130342</xdr:rowOff>
    </xdr:to>
    <xdr:graphicFrame macro="">
      <xdr:nvGraphicFramePr>
        <xdr:cNvPr id="2" name="Chart 1">
          <a:extLst>
            <a:ext uri="{FF2B5EF4-FFF2-40B4-BE49-F238E27FC236}">
              <a16:creationId xmlns:a16="http://schemas.microsoft.com/office/drawing/2014/main" id="{332209BA-6197-412E-A3EF-262A9A6BF5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2481514</xdr:colOff>
      <xdr:row>40</xdr:row>
      <xdr:rowOff>159919</xdr:rowOff>
    </xdr:from>
    <xdr:to>
      <xdr:col>5</xdr:col>
      <xdr:colOff>832185</xdr:colOff>
      <xdr:row>72</xdr:row>
      <xdr:rowOff>130342</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2481514</xdr:colOff>
      <xdr:row>40</xdr:row>
      <xdr:rowOff>159919</xdr:rowOff>
    </xdr:from>
    <xdr:to>
      <xdr:col>5</xdr:col>
      <xdr:colOff>832185</xdr:colOff>
      <xdr:row>72</xdr:row>
      <xdr:rowOff>130342</xdr:rowOff>
    </xdr:to>
    <xdr:graphicFrame macro="">
      <xdr:nvGraphicFramePr>
        <xdr:cNvPr id="3" name="Chart 2">
          <a:extLst>
            <a:ext uri="{FF2B5EF4-FFF2-40B4-BE49-F238E27FC236}">
              <a16:creationId xmlns:a16="http://schemas.microsoft.com/office/drawing/2014/main" id="{37B54316-D973-4D6F-BBA3-8AC8AFE324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2481514</xdr:colOff>
      <xdr:row>40</xdr:row>
      <xdr:rowOff>159919</xdr:rowOff>
    </xdr:from>
    <xdr:to>
      <xdr:col>5</xdr:col>
      <xdr:colOff>832185</xdr:colOff>
      <xdr:row>72</xdr:row>
      <xdr:rowOff>130342</xdr:rowOff>
    </xdr:to>
    <xdr:graphicFrame macro="">
      <xdr:nvGraphicFramePr>
        <xdr:cNvPr id="2" name="Chart 1">
          <a:extLst>
            <a:ext uri="{FF2B5EF4-FFF2-40B4-BE49-F238E27FC236}">
              <a16:creationId xmlns:a16="http://schemas.microsoft.com/office/drawing/2014/main" id="{A2800446-9C0E-4DCE-A2AF-3242619705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2481514</xdr:colOff>
      <xdr:row>40</xdr:row>
      <xdr:rowOff>159919</xdr:rowOff>
    </xdr:from>
    <xdr:to>
      <xdr:col>5</xdr:col>
      <xdr:colOff>832185</xdr:colOff>
      <xdr:row>72</xdr:row>
      <xdr:rowOff>130342</xdr:rowOff>
    </xdr:to>
    <xdr:graphicFrame macro="">
      <xdr:nvGraphicFramePr>
        <xdr:cNvPr id="3" name="Chart 2">
          <a:extLst>
            <a:ext uri="{FF2B5EF4-FFF2-40B4-BE49-F238E27FC236}">
              <a16:creationId xmlns:a16="http://schemas.microsoft.com/office/drawing/2014/main" id="{EECE78DF-26D2-465A-96B7-7B7C815684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2481514</xdr:colOff>
      <xdr:row>40</xdr:row>
      <xdr:rowOff>159919</xdr:rowOff>
    </xdr:from>
    <xdr:to>
      <xdr:col>5</xdr:col>
      <xdr:colOff>832185</xdr:colOff>
      <xdr:row>72</xdr:row>
      <xdr:rowOff>130342</xdr:rowOff>
    </xdr:to>
    <xdr:graphicFrame macro="">
      <xdr:nvGraphicFramePr>
        <xdr:cNvPr id="2" name="Chart 1">
          <a:extLst>
            <a:ext uri="{FF2B5EF4-FFF2-40B4-BE49-F238E27FC236}">
              <a16:creationId xmlns:a16="http://schemas.microsoft.com/office/drawing/2014/main" id="{CFD142DE-8C96-4130-B7A8-8C0DE5F6D1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2481514</xdr:colOff>
      <xdr:row>40</xdr:row>
      <xdr:rowOff>159919</xdr:rowOff>
    </xdr:from>
    <xdr:to>
      <xdr:col>5</xdr:col>
      <xdr:colOff>832185</xdr:colOff>
      <xdr:row>72</xdr:row>
      <xdr:rowOff>130342</xdr:rowOff>
    </xdr:to>
    <xdr:graphicFrame macro="">
      <xdr:nvGraphicFramePr>
        <xdr:cNvPr id="3" name="Chart 2">
          <a:extLst>
            <a:ext uri="{FF2B5EF4-FFF2-40B4-BE49-F238E27FC236}">
              <a16:creationId xmlns:a16="http://schemas.microsoft.com/office/drawing/2014/main" id="{5D145E08-4AA6-461B-AB4E-50B908AA4B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2481514</xdr:colOff>
      <xdr:row>40</xdr:row>
      <xdr:rowOff>159919</xdr:rowOff>
    </xdr:from>
    <xdr:to>
      <xdr:col>5</xdr:col>
      <xdr:colOff>832185</xdr:colOff>
      <xdr:row>72</xdr:row>
      <xdr:rowOff>130342</xdr:rowOff>
    </xdr:to>
    <xdr:graphicFrame macro="">
      <xdr:nvGraphicFramePr>
        <xdr:cNvPr id="2" name="Chart 1">
          <a:extLst>
            <a:ext uri="{FF2B5EF4-FFF2-40B4-BE49-F238E27FC236}">
              <a16:creationId xmlns:a16="http://schemas.microsoft.com/office/drawing/2014/main" id="{3F6B22B6-0AE4-44CE-928E-05D7BCDC54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2481514</xdr:colOff>
      <xdr:row>40</xdr:row>
      <xdr:rowOff>159919</xdr:rowOff>
    </xdr:from>
    <xdr:to>
      <xdr:col>5</xdr:col>
      <xdr:colOff>832185</xdr:colOff>
      <xdr:row>72</xdr:row>
      <xdr:rowOff>130342</xdr:rowOff>
    </xdr:to>
    <xdr:graphicFrame macro="">
      <xdr:nvGraphicFramePr>
        <xdr:cNvPr id="3" name="Chart 2">
          <a:extLst>
            <a:ext uri="{FF2B5EF4-FFF2-40B4-BE49-F238E27FC236}">
              <a16:creationId xmlns:a16="http://schemas.microsoft.com/office/drawing/2014/main" id="{7FE86461-F56E-499A-B652-B10FF4B7BB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2481514</xdr:colOff>
      <xdr:row>40</xdr:row>
      <xdr:rowOff>159919</xdr:rowOff>
    </xdr:from>
    <xdr:to>
      <xdr:col>5</xdr:col>
      <xdr:colOff>832185</xdr:colOff>
      <xdr:row>72</xdr:row>
      <xdr:rowOff>130342</xdr:rowOff>
    </xdr:to>
    <xdr:graphicFrame macro="">
      <xdr:nvGraphicFramePr>
        <xdr:cNvPr id="2" name="Chart 1">
          <a:extLst>
            <a:ext uri="{FF2B5EF4-FFF2-40B4-BE49-F238E27FC236}">
              <a16:creationId xmlns:a16="http://schemas.microsoft.com/office/drawing/2014/main" id="{103F99F0-BF00-4659-B9F9-9C97B1695B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2481514</xdr:colOff>
      <xdr:row>40</xdr:row>
      <xdr:rowOff>159919</xdr:rowOff>
    </xdr:from>
    <xdr:to>
      <xdr:col>5</xdr:col>
      <xdr:colOff>832185</xdr:colOff>
      <xdr:row>72</xdr:row>
      <xdr:rowOff>130342</xdr:rowOff>
    </xdr:to>
    <xdr:graphicFrame macro="">
      <xdr:nvGraphicFramePr>
        <xdr:cNvPr id="3" name="Chart 2">
          <a:extLst>
            <a:ext uri="{FF2B5EF4-FFF2-40B4-BE49-F238E27FC236}">
              <a16:creationId xmlns:a16="http://schemas.microsoft.com/office/drawing/2014/main" id="{54B64938-DFC1-48D1-9442-86E19FA4D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2481514</xdr:colOff>
      <xdr:row>40</xdr:row>
      <xdr:rowOff>159919</xdr:rowOff>
    </xdr:from>
    <xdr:to>
      <xdr:col>5</xdr:col>
      <xdr:colOff>832185</xdr:colOff>
      <xdr:row>72</xdr:row>
      <xdr:rowOff>130342</xdr:rowOff>
    </xdr:to>
    <xdr:graphicFrame macro="">
      <xdr:nvGraphicFramePr>
        <xdr:cNvPr id="2" name="Chart 1">
          <a:extLst>
            <a:ext uri="{FF2B5EF4-FFF2-40B4-BE49-F238E27FC236}">
              <a16:creationId xmlns:a16="http://schemas.microsoft.com/office/drawing/2014/main" id="{3009039B-6C84-4E28-9742-5DD5F860AF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2481514</xdr:colOff>
      <xdr:row>40</xdr:row>
      <xdr:rowOff>159919</xdr:rowOff>
    </xdr:from>
    <xdr:to>
      <xdr:col>5</xdr:col>
      <xdr:colOff>832185</xdr:colOff>
      <xdr:row>72</xdr:row>
      <xdr:rowOff>130342</xdr:rowOff>
    </xdr:to>
    <xdr:graphicFrame macro="">
      <xdr:nvGraphicFramePr>
        <xdr:cNvPr id="3" name="Chart 2">
          <a:extLst>
            <a:ext uri="{FF2B5EF4-FFF2-40B4-BE49-F238E27FC236}">
              <a16:creationId xmlns:a16="http://schemas.microsoft.com/office/drawing/2014/main" id="{C67ECC77-8743-4854-AF80-FB3E001CB9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2481514</xdr:colOff>
      <xdr:row>40</xdr:row>
      <xdr:rowOff>159919</xdr:rowOff>
    </xdr:from>
    <xdr:to>
      <xdr:col>5</xdr:col>
      <xdr:colOff>832185</xdr:colOff>
      <xdr:row>72</xdr:row>
      <xdr:rowOff>130342</xdr:rowOff>
    </xdr:to>
    <xdr:graphicFrame macro="">
      <xdr:nvGraphicFramePr>
        <xdr:cNvPr id="2" name="Chart 1">
          <a:extLst>
            <a:ext uri="{FF2B5EF4-FFF2-40B4-BE49-F238E27FC236}">
              <a16:creationId xmlns:a16="http://schemas.microsoft.com/office/drawing/2014/main" id="{4A3AA96B-9463-4172-B52E-BBCA58018F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2481514</xdr:colOff>
      <xdr:row>40</xdr:row>
      <xdr:rowOff>159919</xdr:rowOff>
    </xdr:from>
    <xdr:to>
      <xdr:col>5</xdr:col>
      <xdr:colOff>832185</xdr:colOff>
      <xdr:row>72</xdr:row>
      <xdr:rowOff>130342</xdr:rowOff>
    </xdr:to>
    <xdr:graphicFrame macro="">
      <xdr:nvGraphicFramePr>
        <xdr:cNvPr id="3" name="Chart 2">
          <a:extLst>
            <a:ext uri="{FF2B5EF4-FFF2-40B4-BE49-F238E27FC236}">
              <a16:creationId xmlns:a16="http://schemas.microsoft.com/office/drawing/2014/main" id="{2E9D0CE3-9CF2-44E8-A960-EB2E572C13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2481514</xdr:colOff>
      <xdr:row>40</xdr:row>
      <xdr:rowOff>159919</xdr:rowOff>
    </xdr:from>
    <xdr:to>
      <xdr:col>5</xdr:col>
      <xdr:colOff>832185</xdr:colOff>
      <xdr:row>72</xdr:row>
      <xdr:rowOff>130342</xdr:rowOff>
    </xdr:to>
    <xdr:graphicFrame macro="">
      <xdr:nvGraphicFramePr>
        <xdr:cNvPr id="2" name="Chart 1">
          <a:extLst>
            <a:ext uri="{FF2B5EF4-FFF2-40B4-BE49-F238E27FC236}">
              <a16:creationId xmlns:a16="http://schemas.microsoft.com/office/drawing/2014/main" id="{43196134-17F9-4CD0-9266-961C11445D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2481514</xdr:colOff>
      <xdr:row>40</xdr:row>
      <xdr:rowOff>159919</xdr:rowOff>
    </xdr:from>
    <xdr:to>
      <xdr:col>5</xdr:col>
      <xdr:colOff>832185</xdr:colOff>
      <xdr:row>72</xdr:row>
      <xdr:rowOff>130342</xdr:rowOff>
    </xdr:to>
    <xdr:graphicFrame macro="">
      <xdr:nvGraphicFramePr>
        <xdr:cNvPr id="3" name="Chart 2">
          <a:extLst>
            <a:ext uri="{FF2B5EF4-FFF2-40B4-BE49-F238E27FC236}">
              <a16:creationId xmlns:a16="http://schemas.microsoft.com/office/drawing/2014/main" id="{896138B1-C179-4187-9EF0-C84CA06FED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2481514</xdr:colOff>
      <xdr:row>40</xdr:row>
      <xdr:rowOff>159919</xdr:rowOff>
    </xdr:from>
    <xdr:to>
      <xdr:col>5</xdr:col>
      <xdr:colOff>832185</xdr:colOff>
      <xdr:row>72</xdr:row>
      <xdr:rowOff>130342</xdr:rowOff>
    </xdr:to>
    <xdr:graphicFrame macro="">
      <xdr:nvGraphicFramePr>
        <xdr:cNvPr id="2" name="Chart 1">
          <a:extLst>
            <a:ext uri="{FF2B5EF4-FFF2-40B4-BE49-F238E27FC236}">
              <a16:creationId xmlns:a16="http://schemas.microsoft.com/office/drawing/2014/main" id="{BC9658B0-E986-478B-9E6E-6517684CEA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2481514</xdr:colOff>
      <xdr:row>40</xdr:row>
      <xdr:rowOff>159919</xdr:rowOff>
    </xdr:from>
    <xdr:to>
      <xdr:col>5</xdr:col>
      <xdr:colOff>832185</xdr:colOff>
      <xdr:row>72</xdr:row>
      <xdr:rowOff>130342</xdr:rowOff>
    </xdr:to>
    <xdr:graphicFrame macro="">
      <xdr:nvGraphicFramePr>
        <xdr:cNvPr id="3" name="Chart 2">
          <a:extLst>
            <a:ext uri="{FF2B5EF4-FFF2-40B4-BE49-F238E27FC236}">
              <a16:creationId xmlns:a16="http://schemas.microsoft.com/office/drawing/2014/main" id="{EB5F9E85-8D4A-4990-A100-90DDC9E4D7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2481514</xdr:colOff>
      <xdr:row>40</xdr:row>
      <xdr:rowOff>159919</xdr:rowOff>
    </xdr:from>
    <xdr:to>
      <xdr:col>5</xdr:col>
      <xdr:colOff>832185</xdr:colOff>
      <xdr:row>72</xdr:row>
      <xdr:rowOff>130342</xdr:rowOff>
    </xdr:to>
    <xdr:graphicFrame macro="">
      <xdr:nvGraphicFramePr>
        <xdr:cNvPr id="2" name="Chart 1">
          <a:extLst>
            <a:ext uri="{FF2B5EF4-FFF2-40B4-BE49-F238E27FC236}">
              <a16:creationId xmlns:a16="http://schemas.microsoft.com/office/drawing/2014/main" id="{DF8A5145-5FD5-4176-9F13-C227FE0666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2481514</xdr:colOff>
      <xdr:row>40</xdr:row>
      <xdr:rowOff>159919</xdr:rowOff>
    </xdr:from>
    <xdr:to>
      <xdr:col>5</xdr:col>
      <xdr:colOff>832185</xdr:colOff>
      <xdr:row>72</xdr:row>
      <xdr:rowOff>130342</xdr:rowOff>
    </xdr:to>
    <xdr:graphicFrame macro="">
      <xdr:nvGraphicFramePr>
        <xdr:cNvPr id="3" name="Chart 2">
          <a:extLst>
            <a:ext uri="{FF2B5EF4-FFF2-40B4-BE49-F238E27FC236}">
              <a16:creationId xmlns:a16="http://schemas.microsoft.com/office/drawing/2014/main" id="{B84CA8B2-3877-48E8-A46D-87B23E7BF6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0</xdr:col>
      <xdr:colOff>2481514</xdr:colOff>
      <xdr:row>40</xdr:row>
      <xdr:rowOff>159919</xdr:rowOff>
    </xdr:from>
    <xdr:to>
      <xdr:col>5</xdr:col>
      <xdr:colOff>832185</xdr:colOff>
      <xdr:row>72</xdr:row>
      <xdr:rowOff>130342</xdr:rowOff>
    </xdr:to>
    <xdr:graphicFrame macro="">
      <xdr:nvGraphicFramePr>
        <xdr:cNvPr id="2" name="Chart 1">
          <a:extLst>
            <a:ext uri="{FF2B5EF4-FFF2-40B4-BE49-F238E27FC236}">
              <a16:creationId xmlns:a16="http://schemas.microsoft.com/office/drawing/2014/main" id="{3C5C61B7-1395-4241-8846-4855F4173E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2481514</xdr:colOff>
      <xdr:row>40</xdr:row>
      <xdr:rowOff>159919</xdr:rowOff>
    </xdr:from>
    <xdr:to>
      <xdr:col>5</xdr:col>
      <xdr:colOff>832185</xdr:colOff>
      <xdr:row>72</xdr:row>
      <xdr:rowOff>130342</xdr:rowOff>
    </xdr:to>
    <xdr:graphicFrame macro="">
      <xdr:nvGraphicFramePr>
        <xdr:cNvPr id="3" name="Chart 2">
          <a:extLst>
            <a:ext uri="{FF2B5EF4-FFF2-40B4-BE49-F238E27FC236}">
              <a16:creationId xmlns:a16="http://schemas.microsoft.com/office/drawing/2014/main" id="{12ACA6E4-DC66-4A60-A5F7-71151E455F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2481514</xdr:colOff>
      <xdr:row>40</xdr:row>
      <xdr:rowOff>159919</xdr:rowOff>
    </xdr:from>
    <xdr:to>
      <xdr:col>5</xdr:col>
      <xdr:colOff>832185</xdr:colOff>
      <xdr:row>72</xdr:row>
      <xdr:rowOff>130342</xdr:rowOff>
    </xdr:to>
    <xdr:graphicFrame macro="">
      <xdr:nvGraphicFramePr>
        <xdr:cNvPr id="2" name="Chart 1">
          <a:extLst>
            <a:ext uri="{FF2B5EF4-FFF2-40B4-BE49-F238E27FC236}">
              <a16:creationId xmlns:a16="http://schemas.microsoft.com/office/drawing/2014/main" id="{002C4837-6C91-4E7B-8248-18AAD7C76B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2481514</xdr:colOff>
      <xdr:row>40</xdr:row>
      <xdr:rowOff>159919</xdr:rowOff>
    </xdr:from>
    <xdr:to>
      <xdr:col>5</xdr:col>
      <xdr:colOff>832185</xdr:colOff>
      <xdr:row>72</xdr:row>
      <xdr:rowOff>130342</xdr:rowOff>
    </xdr:to>
    <xdr:graphicFrame macro="">
      <xdr:nvGraphicFramePr>
        <xdr:cNvPr id="3" name="Chart 2">
          <a:extLst>
            <a:ext uri="{FF2B5EF4-FFF2-40B4-BE49-F238E27FC236}">
              <a16:creationId xmlns:a16="http://schemas.microsoft.com/office/drawing/2014/main" id="{04E1D483-BEBD-4ECA-B90F-8336F1E142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0</xdr:col>
      <xdr:colOff>2481514</xdr:colOff>
      <xdr:row>40</xdr:row>
      <xdr:rowOff>159919</xdr:rowOff>
    </xdr:from>
    <xdr:to>
      <xdr:col>5</xdr:col>
      <xdr:colOff>832185</xdr:colOff>
      <xdr:row>72</xdr:row>
      <xdr:rowOff>130342</xdr:rowOff>
    </xdr:to>
    <xdr:graphicFrame macro="">
      <xdr:nvGraphicFramePr>
        <xdr:cNvPr id="2" name="Chart 1">
          <a:extLst>
            <a:ext uri="{FF2B5EF4-FFF2-40B4-BE49-F238E27FC236}">
              <a16:creationId xmlns:a16="http://schemas.microsoft.com/office/drawing/2014/main" id="{BC8EEAB9-DBDF-4EC1-A4B4-BF42DF313E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2481514</xdr:colOff>
      <xdr:row>40</xdr:row>
      <xdr:rowOff>159919</xdr:rowOff>
    </xdr:from>
    <xdr:to>
      <xdr:col>5</xdr:col>
      <xdr:colOff>832185</xdr:colOff>
      <xdr:row>72</xdr:row>
      <xdr:rowOff>130342</xdr:rowOff>
    </xdr:to>
    <xdr:graphicFrame macro="">
      <xdr:nvGraphicFramePr>
        <xdr:cNvPr id="3" name="Chart 2">
          <a:extLst>
            <a:ext uri="{FF2B5EF4-FFF2-40B4-BE49-F238E27FC236}">
              <a16:creationId xmlns:a16="http://schemas.microsoft.com/office/drawing/2014/main" id="{81659BA7-C756-4D43-9541-CC61C28CB4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0</xdr:col>
      <xdr:colOff>2481514</xdr:colOff>
      <xdr:row>40</xdr:row>
      <xdr:rowOff>159919</xdr:rowOff>
    </xdr:from>
    <xdr:to>
      <xdr:col>5</xdr:col>
      <xdr:colOff>832185</xdr:colOff>
      <xdr:row>72</xdr:row>
      <xdr:rowOff>130342</xdr:rowOff>
    </xdr:to>
    <xdr:graphicFrame macro="">
      <xdr:nvGraphicFramePr>
        <xdr:cNvPr id="2" name="Chart 1">
          <a:extLst>
            <a:ext uri="{FF2B5EF4-FFF2-40B4-BE49-F238E27FC236}">
              <a16:creationId xmlns:a16="http://schemas.microsoft.com/office/drawing/2014/main" id="{716C19B1-D594-4862-9B27-A8DB61EF24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2481514</xdr:colOff>
      <xdr:row>40</xdr:row>
      <xdr:rowOff>159919</xdr:rowOff>
    </xdr:from>
    <xdr:to>
      <xdr:col>5</xdr:col>
      <xdr:colOff>832185</xdr:colOff>
      <xdr:row>72</xdr:row>
      <xdr:rowOff>130342</xdr:rowOff>
    </xdr:to>
    <xdr:graphicFrame macro="">
      <xdr:nvGraphicFramePr>
        <xdr:cNvPr id="3" name="Chart 2">
          <a:extLst>
            <a:ext uri="{FF2B5EF4-FFF2-40B4-BE49-F238E27FC236}">
              <a16:creationId xmlns:a16="http://schemas.microsoft.com/office/drawing/2014/main" id="{DD2CC580-67C9-4C92-8703-83618CF55F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2481514</xdr:colOff>
      <xdr:row>40</xdr:row>
      <xdr:rowOff>159919</xdr:rowOff>
    </xdr:from>
    <xdr:to>
      <xdr:col>5</xdr:col>
      <xdr:colOff>832185</xdr:colOff>
      <xdr:row>72</xdr:row>
      <xdr:rowOff>130342</xdr:rowOff>
    </xdr:to>
    <xdr:graphicFrame macro="">
      <xdr:nvGraphicFramePr>
        <xdr:cNvPr id="2" name="Chart 1">
          <a:extLst>
            <a:ext uri="{FF2B5EF4-FFF2-40B4-BE49-F238E27FC236}">
              <a16:creationId xmlns:a16="http://schemas.microsoft.com/office/drawing/2014/main" id="{8551C3BD-E665-474F-9500-664F3036A3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2481514</xdr:colOff>
      <xdr:row>40</xdr:row>
      <xdr:rowOff>159919</xdr:rowOff>
    </xdr:from>
    <xdr:to>
      <xdr:col>5</xdr:col>
      <xdr:colOff>832185</xdr:colOff>
      <xdr:row>72</xdr:row>
      <xdr:rowOff>130342</xdr:rowOff>
    </xdr:to>
    <xdr:graphicFrame macro="">
      <xdr:nvGraphicFramePr>
        <xdr:cNvPr id="3" name="Chart 2">
          <a:extLst>
            <a:ext uri="{FF2B5EF4-FFF2-40B4-BE49-F238E27FC236}">
              <a16:creationId xmlns:a16="http://schemas.microsoft.com/office/drawing/2014/main" id="{20359717-068C-443A-8E3D-15871B3927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V37"/>
  <sheetViews>
    <sheetView zoomScale="64" zoomScaleNormal="64" workbookViewId="0">
      <selection activeCell="D12" sqref="D12"/>
    </sheetView>
  </sheetViews>
  <sheetFormatPr defaultRowHeight="12.5" x14ac:dyDescent="0.25"/>
  <cols>
    <col min="1" max="1" width="45.1796875" customWidth="1"/>
    <col min="2" max="2" width="15.7265625" customWidth="1"/>
    <col min="3" max="3" width="21.26953125" customWidth="1"/>
    <col min="4" max="10" width="13" customWidth="1"/>
    <col min="11" max="13" width="14.1796875" customWidth="1"/>
    <col min="14" max="14" width="13.81640625" customWidth="1"/>
    <col min="15" max="15" width="14.26953125" customWidth="1"/>
    <col min="16" max="16" width="3.26953125" customWidth="1"/>
    <col min="18" max="18" width="11.1796875" bestFit="1" customWidth="1"/>
    <col min="19" max="20" width="12.7265625" bestFit="1" customWidth="1"/>
  </cols>
  <sheetData>
    <row r="1" spans="1:22" ht="17.25" customHeight="1" x14ac:dyDescent="0.35">
      <c r="A1" s="84" t="s">
        <v>22</v>
      </c>
      <c r="B1" s="84"/>
      <c r="C1" s="85"/>
      <c r="D1" s="85"/>
      <c r="E1" s="85"/>
      <c r="F1" s="85"/>
      <c r="G1" s="85"/>
      <c r="H1" s="85"/>
      <c r="I1" s="85"/>
      <c r="J1" s="85"/>
      <c r="K1" s="85"/>
      <c r="L1" s="85"/>
      <c r="M1" s="86"/>
      <c r="N1" s="86"/>
      <c r="O1" s="5"/>
      <c r="P1" s="5"/>
      <c r="Q1" s="5"/>
      <c r="R1" s="5"/>
      <c r="S1" s="5"/>
      <c r="T1" s="5"/>
      <c r="U1" s="5"/>
      <c r="V1" s="5"/>
    </row>
    <row r="2" spans="1:22" ht="12.75" customHeight="1" x14ac:dyDescent="0.35">
      <c r="A2" s="3"/>
      <c r="B2" s="3"/>
      <c r="C2" s="4"/>
      <c r="D2" s="4"/>
      <c r="E2" s="4"/>
      <c r="F2" s="4"/>
      <c r="G2" s="4"/>
      <c r="H2" s="4"/>
      <c r="I2" s="4"/>
      <c r="J2" s="4"/>
      <c r="K2" s="4"/>
      <c r="L2" s="4"/>
      <c r="M2" s="4"/>
      <c r="N2" s="5"/>
      <c r="O2" s="5"/>
      <c r="P2" s="5"/>
      <c r="Q2" s="5"/>
      <c r="R2" s="5"/>
      <c r="S2" s="5"/>
      <c r="T2" s="5"/>
      <c r="U2" s="5"/>
      <c r="V2" s="5"/>
    </row>
    <row r="3" spans="1:22" x14ac:dyDescent="0.25">
      <c r="A3" s="5"/>
      <c r="B3" s="5"/>
      <c r="C3" s="5"/>
      <c r="D3" s="5"/>
      <c r="E3" s="55"/>
      <c r="F3" s="5"/>
      <c r="G3" s="5"/>
      <c r="H3" s="5"/>
      <c r="I3" s="5"/>
      <c r="J3" s="5"/>
      <c r="K3" s="5"/>
      <c r="L3" s="5"/>
      <c r="M3" s="5" t="s">
        <v>42</v>
      </c>
      <c r="N3" s="5">
        <v>30</v>
      </c>
      <c r="P3" s="5"/>
    </row>
    <row r="4" spans="1:22" ht="14" x14ac:dyDescent="0.3">
      <c r="A4" s="54" t="s">
        <v>43</v>
      </c>
      <c r="M4" s="14" t="s">
        <v>0</v>
      </c>
      <c r="N4" s="15">
        <v>0.06</v>
      </c>
      <c r="O4" s="7"/>
      <c r="P4" s="5"/>
    </row>
    <row r="5" spans="1:22" ht="10.5" customHeight="1" thickBot="1" x14ac:dyDescent="0.35">
      <c r="A5" s="8"/>
      <c r="B5" s="8"/>
      <c r="C5" s="6"/>
      <c r="D5" s="6"/>
      <c r="E5" s="6"/>
      <c r="F5" s="6"/>
      <c r="G5" s="6"/>
      <c r="H5" s="6"/>
      <c r="I5" s="6"/>
      <c r="J5" s="6"/>
      <c r="K5" s="6"/>
      <c r="L5" s="6"/>
      <c r="M5" s="6"/>
      <c r="N5" s="6"/>
      <c r="O5" s="6"/>
      <c r="P5" s="5"/>
    </row>
    <row r="6" spans="1:22" ht="14" x14ac:dyDescent="0.3">
      <c r="A6" s="16"/>
      <c r="B6" s="16"/>
      <c r="C6" s="82" t="s">
        <v>16</v>
      </c>
      <c r="D6" s="82"/>
      <c r="E6" s="82"/>
      <c r="F6" s="82"/>
      <c r="G6" s="82"/>
      <c r="H6" s="82"/>
      <c r="I6" s="82"/>
      <c r="J6" s="82"/>
      <c r="K6" s="82"/>
      <c r="L6" s="83"/>
      <c r="M6" s="18" t="s">
        <v>1</v>
      </c>
      <c r="O6" s="5"/>
    </row>
    <row r="7" spans="1:22" ht="14" x14ac:dyDescent="0.3">
      <c r="B7" s="62">
        <v>0</v>
      </c>
      <c r="C7" s="12">
        <v>1</v>
      </c>
      <c r="D7" s="12">
        <v>2</v>
      </c>
      <c r="E7" s="12">
        <v>3</v>
      </c>
      <c r="F7" s="12">
        <v>4</v>
      </c>
      <c r="G7" s="12">
        <v>5</v>
      </c>
      <c r="H7" s="12">
        <v>6</v>
      </c>
      <c r="I7" s="12">
        <v>7</v>
      </c>
      <c r="J7" s="12">
        <v>8</v>
      </c>
      <c r="K7" s="12">
        <v>9</v>
      </c>
      <c r="L7" s="12">
        <v>10</v>
      </c>
      <c r="M7" s="17" t="s">
        <v>2</v>
      </c>
      <c r="O7" s="5"/>
    </row>
    <row r="8" spans="1:22" ht="14" x14ac:dyDescent="0.3">
      <c r="A8" s="13" t="s">
        <v>27</v>
      </c>
      <c r="B8" s="13"/>
      <c r="C8" s="1"/>
      <c r="D8" s="1"/>
      <c r="E8" s="1"/>
      <c r="F8" s="1"/>
      <c r="G8" s="1"/>
      <c r="H8" s="1"/>
      <c r="I8" s="1"/>
      <c r="J8" s="1"/>
      <c r="K8" s="1"/>
      <c r="L8" s="1"/>
      <c r="O8" s="5"/>
    </row>
    <row r="9" spans="1:22" ht="14" x14ac:dyDescent="0.3">
      <c r="A9" s="34" t="s">
        <v>10</v>
      </c>
      <c r="B9" s="60">
        <v>100</v>
      </c>
      <c r="C9" s="21"/>
      <c r="D9" s="21"/>
      <c r="E9" s="21"/>
      <c r="F9" s="21"/>
      <c r="G9" s="21"/>
      <c r="H9" s="21"/>
      <c r="I9" s="21"/>
      <c r="J9" s="21"/>
      <c r="K9" s="21"/>
      <c r="L9" s="21"/>
      <c r="M9" s="26"/>
      <c r="O9" s="5"/>
      <c r="S9" s="9"/>
    </row>
    <row r="10" spans="1:22" ht="14" x14ac:dyDescent="0.3">
      <c r="A10" s="42" t="s">
        <v>21</v>
      </c>
      <c r="B10" s="61">
        <v>20</v>
      </c>
      <c r="C10" s="22"/>
      <c r="D10" s="22">
        <v>0</v>
      </c>
      <c r="E10" s="22"/>
      <c r="F10" s="22"/>
      <c r="G10" s="22"/>
      <c r="H10" s="22"/>
      <c r="I10" s="22"/>
      <c r="J10" s="22"/>
      <c r="K10" s="22"/>
      <c r="L10" s="22"/>
      <c r="M10" s="27"/>
      <c r="O10" s="5"/>
      <c r="Q10" s="11"/>
      <c r="S10" s="9"/>
    </row>
    <row r="11" spans="1:22" ht="14" x14ac:dyDescent="0.3">
      <c r="A11" s="42" t="s">
        <v>15</v>
      </c>
      <c r="B11" s="64"/>
      <c r="C11" s="25">
        <v>10</v>
      </c>
      <c r="D11" s="25">
        <v>0</v>
      </c>
      <c r="E11" s="25"/>
      <c r="F11" s="25"/>
      <c r="G11" s="25"/>
      <c r="H11" s="25"/>
      <c r="I11" s="25"/>
      <c r="J11" s="25"/>
      <c r="K11" s="25"/>
      <c r="L11" s="25"/>
      <c r="M11" s="27"/>
      <c r="O11" s="5"/>
      <c r="Q11" s="11"/>
      <c r="S11" s="9"/>
    </row>
    <row r="12" spans="1:22" ht="14" x14ac:dyDescent="0.3">
      <c r="A12" s="34" t="s">
        <v>44</v>
      </c>
      <c r="B12" s="60"/>
      <c r="C12" s="25"/>
      <c r="D12" s="25">
        <f>(C20-C19)*$N$3</f>
        <v>17.999999999999996</v>
      </c>
      <c r="E12" s="25">
        <f t="shared" ref="E12:L12" si="0">(D20-D19)*$N$3</f>
        <v>17.999999999999996</v>
      </c>
      <c r="F12" s="25">
        <f t="shared" si="0"/>
        <v>15</v>
      </c>
      <c r="G12" s="25">
        <f t="shared" si="0"/>
        <v>11.999999999999996</v>
      </c>
      <c r="H12" s="25">
        <f t="shared" si="0"/>
        <v>9.0000000000000018</v>
      </c>
      <c r="I12" s="25">
        <f t="shared" si="0"/>
        <v>5.9999999999999982</v>
      </c>
      <c r="J12" s="25">
        <f t="shared" si="0"/>
        <v>5.9999999999999982</v>
      </c>
      <c r="K12" s="25">
        <f t="shared" si="0"/>
        <v>5.9999999999999982</v>
      </c>
      <c r="L12" s="25">
        <f t="shared" si="0"/>
        <v>5.9999999999999982</v>
      </c>
      <c r="M12" s="27"/>
      <c r="O12" s="5"/>
      <c r="Q12" s="11"/>
      <c r="S12" s="9"/>
    </row>
    <row r="13" spans="1:22" ht="14" x14ac:dyDescent="0.3">
      <c r="A13" s="34" t="s">
        <v>9</v>
      </c>
      <c r="B13" s="60"/>
      <c r="C13" s="25"/>
      <c r="D13" s="25"/>
      <c r="E13" s="25"/>
      <c r="F13" s="25"/>
      <c r="G13" s="25"/>
      <c r="H13" s="25"/>
      <c r="I13" s="25"/>
      <c r="J13" s="25"/>
      <c r="K13" s="25"/>
      <c r="L13" s="25"/>
      <c r="M13" s="27"/>
      <c r="O13" s="5"/>
      <c r="Q13" s="11"/>
      <c r="S13" s="9"/>
    </row>
    <row r="14" spans="1:22" ht="14" x14ac:dyDescent="0.3">
      <c r="A14" s="36" t="s">
        <v>3</v>
      </c>
      <c r="B14" s="66">
        <f>SUM(B9:B13)</f>
        <v>120</v>
      </c>
      <c r="C14" s="23">
        <f>SUM(C9:C13)</f>
        <v>10</v>
      </c>
      <c r="D14" s="23">
        <f t="shared" ref="D14:L14" si="1">SUM(D9:D13)</f>
        <v>17.999999999999996</v>
      </c>
      <c r="E14" s="23">
        <f>SUM(E9:E13)</f>
        <v>17.999999999999996</v>
      </c>
      <c r="F14" s="23">
        <f t="shared" si="1"/>
        <v>15</v>
      </c>
      <c r="G14" s="23">
        <f t="shared" si="1"/>
        <v>11.999999999999996</v>
      </c>
      <c r="H14" s="23">
        <f t="shared" si="1"/>
        <v>9.0000000000000018</v>
      </c>
      <c r="I14" s="23">
        <f t="shared" si="1"/>
        <v>5.9999999999999982</v>
      </c>
      <c r="J14" s="23">
        <f t="shared" si="1"/>
        <v>5.9999999999999982</v>
      </c>
      <c r="K14" s="23">
        <f t="shared" si="1"/>
        <v>5.9999999999999982</v>
      </c>
      <c r="L14" s="23">
        <f t="shared" si="1"/>
        <v>5.9999999999999982</v>
      </c>
      <c r="M14" s="57">
        <f>SUM(B14:L14)</f>
        <v>226</v>
      </c>
      <c r="O14" s="5"/>
      <c r="Q14" s="11"/>
      <c r="S14" s="9"/>
    </row>
    <row r="15" spans="1:22" ht="14" x14ac:dyDescent="0.3">
      <c r="A15" s="34" t="s">
        <v>5</v>
      </c>
      <c r="B15" s="65">
        <v>1</v>
      </c>
      <c r="C15" s="24">
        <f t="shared" ref="C15:L15" si="2">1/(1+$N$4)^C7</f>
        <v>0.94339622641509424</v>
      </c>
      <c r="D15" s="24">
        <f t="shared" si="2"/>
        <v>0.88999644001423983</v>
      </c>
      <c r="E15" s="24">
        <f t="shared" si="2"/>
        <v>0.8396192830323016</v>
      </c>
      <c r="F15" s="24">
        <f t="shared" si="2"/>
        <v>0.79209366323802044</v>
      </c>
      <c r="G15" s="24">
        <f t="shared" si="2"/>
        <v>0.74725817286605689</v>
      </c>
      <c r="H15" s="24">
        <f t="shared" si="2"/>
        <v>0.70496054043967626</v>
      </c>
      <c r="I15" s="24">
        <f t="shared" si="2"/>
        <v>0.66505711362233599</v>
      </c>
      <c r="J15" s="24">
        <f t="shared" si="2"/>
        <v>0.62741237134182648</v>
      </c>
      <c r="K15" s="24">
        <f t="shared" si="2"/>
        <v>0.59189846353002495</v>
      </c>
      <c r="L15" s="24">
        <f t="shared" si="2"/>
        <v>0.55839477691511785</v>
      </c>
      <c r="M15" s="57"/>
      <c r="O15" s="5"/>
      <c r="Q15" s="11"/>
      <c r="S15" s="9"/>
    </row>
    <row r="16" spans="1:22" s="38" customFormat="1" ht="14" x14ac:dyDescent="0.3">
      <c r="A16" s="36" t="s">
        <v>6</v>
      </c>
      <c r="B16" s="63">
        <f>B14*B15</f>
        <v>120</v>
      </c>
      <c r="C16" s="56">
        <f>C14*C15</f>
        <v>9.4339622641509422</v>
      </c>
      <c r="D16" s="56">
        <f t="shared" ref="D16:L16" si="3">D14*D15</f>
        <v>16.019935920256312</v>
      </c>
      <c r="E16" s="56">
        <f t="shared" si="3"/>
        <v>15.113147094581425</v>
      </c>
      <c r="F16" s="56">
        <f t="shared" si="3"/>
        <v>11.881404948570307</v>
      </c>
      <c r="G16" s="56">
        <f t="shared" si="3"/>
        <v>8.9670980743926805</v>
      </c>
      <c r="H16" s="56">
        <f t="shared" si="3"/>
        <v>6.3446448639570878</v>
      </c>
      <c r="I16" s="56">
        <f t="shared" si="3"/>
        <v>3.9903426817340146</v>
      </c>
      <c r="J16" s="56">
        <f t="shared" si="3"/>
        <v>3.7644742280509575</v>
      </c>
      <c r="K16" s="56">
        <f t="shared" si="3"/>
        <v>3.5513907811801486</v>
      </c>
      <c r="L16" s="56">
        <f t="shared" si="3"/>
        <v>3.3503686614907062</v>
      </c>
      <c r="M16" s="57">
        <f>SUM(B16:L16)</f>
        <v>202.41676951836453</v>
      </c>
      <c r="O16" s="39"/>
      <c r="Q16" s="40"/>
      <c r="S16" s="41"/>
    </row>
    <row r="17" spans="1:19" ht="14" x14ac:dyDescent="0.3">
      <c r="A17" s="34"/>
      <c r="B17" s="34"/>
      <c r="C17" s="28"/>
      <c r="D17" s="28"/>
      <c r="E17" s="28"/>
      <c r="F17" s="28"/>
      <c r="G17" s="28"/>
      <c r="H17" s="28"/>
      <c r="I17" s="28"/>
      <c r="J17" s="28"/>
      <c r="K17" s="28"/>
      <c r="L17" s="28"/>
      <c r="M17" s="26"/>
      <c r="O17" s="5"/>
      <c r="Q17" s="11"/>
      <c r="S17" s="9"/>
    </row>
    <row r="18" spans="1:19" ht="14" x14ac:dyDescent="0.3">
      <c r="A18" s="35" t="s">
        <v>28</v>
      </c>
      <c r="B18" s="35"/>
      <c r="C18" s="29"/>
      <c r="D18" s="29"/>
      <c r="E18" s="29"/>
      <c r="F18" s="29"/>
      <c r="G18" s="29"/>
      <c r="H18" s="29"/>
      <c r="I18" s="29"/>
      <c r="J18" s="29"/>
      <c r="K18" s="29"/>
      <c r="L18" s="29"/>
      <c r="M18" s="30"/>
      <c r="O18" s="5"/>
      <c r="Q18" s="11"/>
      <c r="S18" s="9"/>
    </row>
    <row r="19" spans="1:19" ht="14" x14ac:dyDescent="0.3">
      <c r="A19" s="34" t="s">
        <v>14</v>
      </c>
      <c r="B19" s="34"/>
      <c r="C19" s="43">
        <v>0.8</v>
      </c>
      <c r="D19" s="43">
        <v>0.8</v>
      </c>
      <c r="E19" s="43">
        <v>0.8</v>
      </c>
      <c r="F19" s="43">
        <v>0.8</v>
      </c>
      <c r="G19" s="43">
        <v>0.8</v>
      </c>
      <c r="H19" s="43">
        <v>0.8</v>
      </c>
      <c r="I19" s="43">
        <v>0.8</v>
      </c>
      <c r="J19" s="43">
        <v>0.8</v>
      </c>
      <c r="K19" s="43">
        <v>0.8</v>
      </c>
      <c r="L19" s="43">
        <v>0.8</v>
      </c>
      <c r="M19" s="37">
        <f>SUM(C19:L19)</f>
        <v>7.9999999999999991</v>
      </c>
      <c r="O19" s="5"/>
      <c r="Q19" s="11"/>
      <c r="S19" s="9"/>
    </row>
    <row r="20" spans="1:19" ht="14" x14ac:dyDescent="0.3">
      <c r="A20" s="34" t="s">
        <v>13</v>
      </c>
      <c r="B20" s="34"/>
      <c r="C20" s="43">
        <v>1.4</v>
      </c>
      <c r="D20" s="43">
        <v>1.4</v>
      </c>
      <c r="E20" s="43">
        <v>1.3</v>
      </c>
      <c r="F20" s="43">
        <v>1.2</v>
      </c>
      <c r="G20" s="43">
        <v>1.1000000000000001</v>
      </c>
      <c r="H20" s="43">
        <v>1</v>
      </c>
      <c r="I20" s="43">
        <v>1</v>
      </c>
      <c r="J20" s="43">
        <v>1</v>
      </c>
      <c r="K20" s="43">
        <v>1</v>
      </c>
      <c r="L20" s="43">
        <v>0.9</v>
      </c>
      <c r="M20" s="37">
        <f>SUM(C20:L20)</f>
        <v>11.3</v>
      </c>
      <c r="O20" s="5"/>
      <c r="Q20" s="11"/>
      <c r="S20" s="9"/>
    </row>
    <row r="21" spans="1:19" ht="14" x14ac:dyDescent="0.3">
      <c r="A21" s="34" t="s">
        <v>30</v>
      </c>
      <c r="B21" s="34"/>
      <c r="C21" s="44">
        <v>200</v>
      </c>
      <c r="D21" s="44">
        <v>200</v>
      </c>
      <c r="E21" s="44">
        <v>200</v>
      </c>
      <c r="F21" s="44">
        <v>200</v>
      </c>
      <c r="G21" s="44">
        <v>200</v>
      </c>
      <c r="H21" s="44">
        <v>200</v>
      </c>
      <c r="I21" s="44">
        <v>200</v>
      </c>
      <c r="J21" s="44">
        <v>200</v>
      </c>
      <c r="K21" s="44">
        <v>200</v>
      </c>
      <c r="L21" s="44">
        <v>200</v>
      </c>
      <c r="M21" s="30"/>
      <c r="O21" s="5"/>
      <c r="Q21" s="11"/>
      <c r="S21" s="9"/>
    </row>
    <row r="22" spans="1:19" ht="14" x14ac:dyDescent="0.3">
      <c r="A22" s="34" t="s">
        <v>11</v>
      </c>
      <c r="B22" s="34"/>
      <c r="C22" s="29">
        <f>(C20-C19)*C21</f>
        <v>119.99999999999997</v>
      </c>
      <c r="D22" s="29">
        <f t="shared" ref="D22:L22" si="4">(D20-D19)*D21</f>
        <v>119.99999999999997</v>
      </c>
      <c r="E22" s="29">
        <f t="shared" si="4"/>
        <v>100</v>
      </c>
      <c r="F22" s="29">
        <f t="shared" si="4"/>
        <v>79.999999999999986</v>
      </c>
      <c r="G22" s="29">
        <f t="shared" si="4"/>
        <v>60.000000000000007</v>
      </c>
      <c r="H22" s="29">
        <f t="shared" si="4"/>
        <v>39.999999999999993</v>
      </c>
      <c r="I22" s="29">
        <f t="shared" si="4"/>
        <v>39.999999999999993</v>
      </c>
      <c r="J22" s="29">
        <f t="shared" si="4"/>
        <v>39.999999999999993</v>
      </c>
      <c r="K22" s="29">
        <f t="shared" si="4"/>
        <v>39.999999999999993</v>
      </c>
      <c r="L22" s="29">
        <f t="shared" si="4"/>
        <v>19.999999999999996</v>
      </c>
      <c r="M22" s="48">
        <f>SUM(C22:L22)</f>
        <v>659.99999999999989</v>
      </c>
      <c r="O22" s="5"/>
      <c r="Q22" s="11"/>
      <c r="S22" s="9"/>
    </row>
    <row r="23" spans="1:19" ht="14" x14ac:dyDescent="0.3">
      <c r="A23" s="34"/>
      <c r="B23" s="34"/>
      <c r="C23" s="45"/>
      <c r="D23" s="45"/>
      <c r="E23" s="45"/>
      <c r="F23" s="45"/>
      <c r="G23" s="45"/>
      <c r="H23" s="45"/>
      <c r="I23" s="45"/>
      <c r="J23" s="45"/>
      <c r="K23" s="45"/>
      <c r="L23" s="45"/>
      <c r="M23" s="46"/>
      <c r="O23" s="5"/>
      <c r="Q23" s="11"/>
      <c r="S23" s="9"/>
    </row>
    <row r="24" spans="1:19" s="38" customFormat="1" ht="14" x14ac:dyDescent="0.3">
      <c r="A24" s="36" t="s">
        <v>26</v>
      </c>
      <c r="B24" s="36"/>
      <c r="C24" s="47">
        <f>C22*C15</f>
        <v>113.20754716981128</v>
      </c>
      <c r="D24" s="47">
        <f t="shared" ref="D24:L24" si="5">D22*D15</f>
        <v>106.79957280170875</v>
      </c>
      <c r="E24" s="47">
        <f t="shared" si="5"/>
        <v>83.961928303230167</v>
      </c>
      <c r="F24" s="47">
        <f t="shared" si="5"/>
        <v>63.367493059041621</v>
      </c>
      <c r="G24" s="47">
        <f t="shared" si="5"/>
        <v>44.835490371963417</v>
      </c>
      <c r="H24" s="47">
        <f t="shared" si="5"/>
        <v>28.198421617587044</v>
      </c>
      <c r="I24" s="47">
        <f t="shared" si="5"/>
        <v>26.602284544893436</v>
      </c>
      <c r="J24" s="47">
        <f t="shared" si="5"/>
        <v>25.096494853673054</v>
      </c>
      <c r="K24" s="47">
        <f t="shared" si="5"/>
        <v>23.675938541200996</v>
      </c>
      <c r="L24" s="47">
        <f t="shared" si="5"/>
        <v>11.167895538302355</v>
      </c>
      <c r="M24" s="48">
        <f>SUM(C24:L24)</f>
        <v>526.91306680141213</v>
      </c>
      <c r="O24" s="39"/>
      <c r="Q24" s="40"/>
      <c r="S24" s="41"/>
    </row>
    <row r="25" spans="1:19" ht="14" x14ac:dyDescent="0.3">
      <c r="A25" s="1"/>
      <c r="B25" s="1"/>
      <c r="C25" s="28"/>
      <c r="D25" s="28"/>
      <c r="E25" s="28"/>
      <c r="F25" s="28"/>
      <c r="G25" s="28"/>
      <c r="H25" s="28"/>
      <c r="I25" s="28"/>
      <c r="J25" s="28"/>
      <c r="K25" s="28"/>
      <c r="L25" s="28"/>
      <c r="M25" s="30"/>
      <c r="O25" s="5"/>
      <c r="S25" s="9"/>
    </row>
    <row r="26" spans="1:19" ht="14" x14ac:dyDescent="0.3">
      <c r="A26" s="13" t="s">
        <v>8</v>
      </c>
      <c r="B26" s="13"/>
      <c r="C26" s="31"/>
      <c r="D26" s="31"/>
      <c r="E26" s="31"/>
      <c r="F26" s="31"/>
      <c r="G26" s="31"/>
      <c r="H26" s="31"/>
      <c r="I26" s="31"/>
      <c r="J26" s="31"/>
      <c r="K26" s="31"/>
      <c r="L26" s="31"/>
      <c r="M26" s="10"/>
      <c r="O26" s="5"/>
      <c r="R26" s="11"/>
    </row>
    <row r="27" spans="1:19" ht="14" x14ac:dyDescent="0.3">
      <c r="A27" s="2" t="s">
        <v>7</v>
      </c>
      <c r="B27" s="32">
        <f>B22-B14</f>
        <v>-120</v>
      </c>
      <c r="C27" s="32">
        <f>C22-C14</f>
        <v>109.99999999999997</v>
      </c>
      <c r="D27" s="32">
        <f t="shared" ref="D27:L27" si="6">D22-D14</f>
        <v>101.99999999999997</v>
      </c>
      <c r="E27" s="32">
        <f t="shared" si="6"/>
        <v>82</v>
      </c>
      <c r="F27" s="32">
        <f t="shared" si="6"/>
        <v>64.999999999999986</v>
      </c>
      <c r="G27" s="32">
        <f t="shared" si="6"/>
        <v>48.000000000000014</v>
      </c>
      <c r="H27" s="32">
        <f t="shared" si="6"/>
        <v>30.999999999999993</v>
      </c>
      <c r="I27" s="32">
        <f t="shared" si="6"/>
        <v>33.999999999999993</v>
      </c>
      <c r="J27" s="32">
        <f t="shared" si="6"/>
        <v>33.999999999999993</v>
      </c>
      <c r="K27" s="32">
        <f t="shared" si="6"/>
        <v>33.999999999999993</v>
      </c>
      <c r="L27" s="32">
        <f t="shared" si="6"/>
        <v>13.999999999999998</v>
      </c>
      <c r="M27" s="33">
        <f>SUM(B27:L27)</f>
        <v>433.99999999999994</v>
      </c>
      <c r="O27" s="5"/>
      <c r="R27" s="11"/>
    </row>
    <row r="28" spans="1:19" ht="14" x14ac:dyDescent="0.3">
      <c r="A28" s="2" t="s">
        <v>20</v>
      </c>
      <c r="B28" s="32">
        <f>B24-B16</f>
        <v>-120</v>
      </c>
      <c r="C28" s="32">
        <f>C24-C16</f>
        <v>103.77358490566033</v>
      </c>
      <c r="D28" s="32">
        <f t="shared" ref="D28:L28" si="7">D24-D16</f>
        <v>90.779636881452433</v>
      </c>
      <c r="E28" s="32">
        <f t="shared" si="7"/>
        <v>68.848781208648745</v>
      </c>
      <c r="F28" s="32">
        <f t="shared" si="7"/>
        <v>51.486088110471314</v>
      </c>
      <c r="G28" s="32">
        <f t="shared" si="7"/>
        <v>35.868392297570736</v>
      </c>
      <c r="H28" s="32">
        <f t="shared" si="7"/>
        <v>21.853776753629958</v>
      </c>
      <c r="I28" s="32">
        <f t="shared" si="7"/>
        <v>22.611941863159423</v>
      </c>
      <c r="J28" s="32">
        <f t="shared" si="7"/>
        <v>21.332020625622096</v>
      </c>
      <c r="K28" s="32">
        <f t="shared" si="7"/>
        <v>20.124547760020846</v>
      </c>
      <c r="L28" s="32">
        <f t="shared" si="7"/>
        <v>7.817526876811649</v>
      </c>
      <c r="M28" s="58">
        <f>SUM(B28:L28)</f>
        <v>324.49629728304751</v>
      </c>
      <c r="O28" s="5"/>
      <c r="R28" s="11"/>
    </row>
    <row r="29" spans="1:19" ht="14" x14ac:dyDescent="0.3">
      <c r="A29" s="2" t="s">
        <v>19</v>
      </c>
      <c r="B29" s="32">
        <f>B28</f>
        <v>-120</v>
      </c>
      <c r="C29" s="32">
        <f>B28+C28</f>
        <v>-16.226415094339671</v>
      </c>
      <c r="D29" s="32">
        <f>D28+C29</f>
        <v>74.553221787112761</v>
      </c>
      <c r="E29" s="32">
        <f t="shared" ref="E29:L29" si="8">E28+D29</f>
        <v>143.40200299576151</v>
      </c>
      <c r="F29" s="32">
        <f t="shared" si="8"/>
        <v>194.88809110623282</v>
      </c>
      <c r="G29" s="32">
        <f t="shared" si="8"/>
        <v>230.75648340380354</v>
      </c>
      <c r="H29" s="32">
        <f t="shared" si="8"/>
        <v>252.61026015743352</v>
      </c>
      <c r="I29" s="32">
        <f t="shared" si="8"/>
        <v>275.22220202059293</v>
      </c>
      <c r="J29" s="32">
        <f t="shared" si="8"/>
        <v>296.55422264621501</v>
      </c>
      <c r="K29" s="32">
        <f t="shared" si="8"/>
        <v>316.67877040623586</v>
      </c>
      <c r="L29" s="32">
        <f t="shared" si="8"/>
        <v>324.49629728304751</v>
      </c>
      <c r="M29" s="58"/>
      <c r="O29" s="5"/>
      <c r="R29" s="11"/>
    </row>
    <row r="30" spans="1:19" ht="14" x14ac:dyDescent="0.3">
      <c r="A30" s="2" t="s">
        <v>17</v>
      </c>
      <c r="B30" s="20">
        <f>(SUM(B22)-SUM(B14:B14))/SUM(B14:B14)</f>
        <v>-1</v>
      </c>
      <c r="C30" s="20">
        <f>(SUM($B$22:C22)-SUM($B$14:C14))/SUM($B$14:C14)</f>
        <v>-7.6923076923077136E-2</v>
      </c>
      <c r="D30" s="20">
        <f>(SUM($B$22:D22)-SUM($B$14:D14))/SUM($B$14:D14)</f>
        <v>0.62162162162162127</v>
      </c>
      <c r="E30" s="20">
        <f>(SUM($B$22:E22)-SUM($B$14:E14))/SUM($B$14:E14)</f>
        <v>1.0481927710843371</v>
      </c>
      <c r="F30" s="20">
        <f>(SUM($B$22:F22)-SUM($B$14:F14))/SUM($B$14:F14)</f>
        <v>1.3204419889502759</v>
      </c>
      <c r="G30" s="20">
        <f>(SUM($B$22:G22)-SUM($B$14:G14))/SUM($B$14:G14)</f>
        <v>1.4870466321243521</v>
      </c>
      <c r="H30" s="20">
        <f>(SUM($B$22:H22)-SUM($B$14:H14))/SUM($B$14:H14)</f>
        <v>1.5742574257425737</v>
      </c>
      <c r="I30" s="20">
        <f>(SUM($B$22:I22)-SUM($B$14:I14))/SUM($B$14:I14)</f>
        <v>1.6923076923076918</v>
      </c>
      <c r="J30" s="20">
        <f>(SUM($B$22:J22)-SUM($B$14:J14))/SUM($B$14:J14)</f>
        <v>1.8037383177570088</v>
      </c>
      <c r="K30" s="20">
        <f>(SUM($B$22:K22)-SUM($B$14:K14))/SUM($B$14:K14)</f>
        <v>1.9090909090909085</v>
      </c>
      <c r="L30" s="20">
        <f>(SUM($B$22:L22)-SUM($B$14:L14))/SUM($B$14:L14)</f>
        <v>1.9203539823008844</v>
      </c>
      <c r="M30" s="59">
        <f>(M22-M14)/M14</f>
        <v>1.9203539823008844</v>
      </c>
    </row>
    <row r="31" spans="1:19" ht="14" x14ac:dyDescent="0.3">
      <c r="A31" s="2" t="s">
        <v>29</v>
      </c>
      <c r="B31" s="20">
        <f>(SUM(B23)-SUM(B15:B15))/SUM(B15:B15)</f>
        <v>-1</v>
      </c>
      <c r="C31" s="20">
        <f>(SUM($B$24:C24)-SUM($B$16:C16))/SUM($B$16:C16)</f>
        <v>-0.12536443148688084</v>
      </c>
      <c r="D31" s="20">
        <f>(SUM($B$24:D24)-SUM($B$16:D16))/SUM($B$16:D16)</f>
        <v>0.51255568065005574</v>
      </c>
      <c r="E31" s="20">
        <f>(SUM($B$24:E24)-SUM($B$16:E16))/SUM($B$16:E16)</f>
        <v>0.89309735224060138</v>
      </c>
      <c r="F31" s="20">
        <f>(SUM($B$24:F24)-SUM($B$16:F16))/SUM($B$16:F16)</f>
        <v>1.1301237607474182</v>
      </c>
      <c r="G31" s="20">
        <f>(SUM($B$24:G24)-SUM($B$16:G16))/SUM($B$16:G16)</f>
        <v>1.2719774328258124</v>
      </c>
      <c r="H31" s="20">
        <f>(SUM($B$24:H24)-SUM($B$16:H16))/SUM($B$16:H16)</f>
        <v>1.3453877304771518</v>
      </c>
      <c r="I31" s="20">
        <f>(SUM($B$24:I24)-SUM($B$16:I16))/SUM($B$16:I16)</f>
        <v>1.4353138613353005</v>
      </c>
      <c r="J31" s="20">
        <f>(SUM($B$24:J24)-SUM($B$16:J16))/SUM($B$16:J16)</f>
        <v>1.5167849390765655</v>
      </c>
      <c r="K31" s="20">
        <f>(SUM($B$24:K24)-SUM($B$16:K16))/SUM($B$16:K16)</f>
        <v>1.5908197920045981</v>
      </c>
      <c r="L31" s="20">
        <f>(SUM($B$24:L24)-SUM($B$16:L16))/SUM($B$16:L16)</f>
        <v>1.6031097524931464</v>
      </c>
      <c r="M31" s="59">
        <f>(M24-M16)/M16</f>
        <v>1.6031097524931464</v>
      </c>
    </row>
    <row r="32" spans="1:19" ht="14" x14ac:dyDescent="0.3">
      <c r="A32" s="2" t="s">
        <v>18</v>
      </c>
      <c r="B32" s="20"/>
      <c r="C32" s="20"/>
      <c r="D32" s="20"/>
      <c r="E32" s="20"/>
      <c r="F32" s="20"/>
      <c r="G32" s="20"/>
      <c r="H32" s="20"/>
      <c r="I32" s="20"/>
      <c r="J32" s="20"/>
      <c r="K32" s="20"/>
      <c r="L32" s="20"/>
      <c r="M32" s="19">
        <f>M24/M16</f>
        <v>2.6031097524931464</v>
      </c>
    </row>
    <row r="33" spans="1:15" s="50" customFormat="1" ht="13.9" customHeight="1" x14ac:dyDescent="0.3">
      <c r="A33" s="49" t="s">
        <v>4</v>
      </c>
      <c r="B33" s="49"/>
      <c r="C33" s="51"/>
      <c r="D33" s="51"/>
      <c r="E33" s="51"/>
      <c r="F33" s="51"/>
      <c r="G33" s="51"/>
      <c r="H33" s="51"/>
      <c r="I33" s="51"/>
      <c r="J33" s="51"/>
      <c r="K33" s="51"/>
      <c r="L33" s="51"/>
      <c r="M33" s="52">
        <f>M24-M16</f>
        <v>324.49629728304762</v>
      </c>
      <c r="O33" s="53"/>
    </row>
    <row r="34" spans="1:15" ht="19.899999999999999" customHeight="1" x14ac:dyDescent="0.3">
      <c r="A34" s="2" t="s">
        <v>25</v>
      </c>
      <c r="M34" s="67">
        <f>MIRR(B27:L27,N4,N4)</f>
        <v>0.20829938772963463</v>
      </c>
    </row>
    <row r="36" spans="1:15" x14ac:dyDescent="0.25">
      <c r="A36" s="54" t="s">
        <v>23</v>
      </c>
    </row>
    <row r="37" spans="1:15" x14ac:dyDescent="0.25">
      <c r="A37" s="54" t="s">
        <v>24</v>
      </c>
    </row>
  </sheetData>
  <mergeCells count="2">
    <mergeCell ref="C6:L6"/>
    <mergeCell ref="A1:N1"/>
  </mergeCells>
  <phoneticPr fontId="3" type="noConversion"/>
  <printOptions horizontalCentered="1"/>
  <pageMargins left="0.75" right="0.75" top="0.5" bottom="0.5" header="0.5" footer="0.5"/>
  <pageSetup scale="90" orientation="landscape"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40"/>
  <sheetViews>
    <sheetView zoomScale="64" zoomScaleNormal="64" workbookViewId="0">
      <selection activeCell="O20" sqref="O20"/>
    </sheetView>
  </sheetViews>
  <sheetFormatPr defaultRowHeight="12.5" x14ac:dyDescent="0.25"/>
  <cols>
    <col min="1" max="1" width="45.1796875" customWidth="1"/>
    <col min="2" max="2" width="15.7265625" customWidth="1"/>
    <col min="3" max="3" width="21.26953125" customWidth="1"/>
    <col min="4" max="10" width="13" customWidth="1"/>
    <col min="11" max="13" width="14.1796875" customWidth="1"/>
    <col min="14" max="14" width="13.81640625" customWidth="1"/>
    <col min="15" max="15" width="14.26953125" customWidth="1"/>
    <col min="16" max="16" width="3.26953125" customWidth="1"/>
    <col min="18" max="18" width="11.1796875" bestFit="1" customWidth="1"/>
    <col min="19" max="20" width="12.7265625" bestFit="1" customWidth="1"/>
  </cols>
  <sheetData>
    <row r="1" spans="1:22" ht="17.25" customHeight="1" x14ac:dyDescent="0.35">
      <c r="A1" s="84" t="s">
        <v>22</v>
      </c>
      <c r="B1" s="84"/>
      <c r="C1" s="85"/>
      <c r="D1" s="85"/>
      <c r="E1" s="85"/>
      <c r="F1" s="85"/>
      <c r="G1" s="85"/>
      <c r="H1" s="85"/>
      <c r="I1" s="85"/>
      <c r="J1" s="85"/>
      <c r="K1" s="85"/>
      <c r="L1" s="85"/>
      <c r="M1" s="86"/>
      <c r="N1" s="86"/>
      <c r="O1" s="5"/>
      <c r="P1" s="5"/>
      <c r="Q1" s="5"/>
      <c r="R1" s="5"/>
      <c r="S1" s="5"/>
      <c r="T1" s="5"/>
      <c r="U1" s="5"/>
      <c r="V1" s="5"/>
    </row>
    <row r="2" spans="1:22" ht="12.75" customHeight="1" x14ac:dyDescent="0.35">
      <c r="A2" s="3"/>
      <c r="B2" s="3"/>
      <c r="C2" s="4"/>
      <c r="D2" s="4"/>
      <c r="E2" s="4"/>
      <c r="F2" s="4"/>
      <c r="G2" s="4"/>
      <c r="H2" s="4"/>
      <c r="I2" s="4"/>
      <c r="J2" s="4"/>
      <c r="K2" s="4"/>
      <c r="L2" s="4"/>
      <c r="M2" s="4"/>
      <c r="N2" s="5"/>
      <c r="O2" s="5"/>
      <c r="P2" s="5"/>
      <c r="Q2" s="5"/>
      <c r="R2" s="5"/>
      <c r="S2" s="5"/>
      <c r="T2" s="5"/>
      <c r="U2" s="5"/>
      <c r="V2" s="5"/>
    </row>
    <row r="3" spans="1:22" x14ac:dyDescent="0.25">
      <c r="A3" s="5"/>
      <c r="B3" s="5"/>
      <c r="C3" s="5"/>
      <c r="D3" s="5"/>
      <c r="E3" s="55"/>
      <c r="F3" s="5"/>
      <c r="G3" s="5"/>
      <c r="H3" s="5"/>
      <c r="I3" s="5"/>
      <c r="J3" s="5"/>
      <c r="K3" s="5"/>
      <c r="L3" s="5"/>
      <c r="M3" s="5" t="s">
        <v>42</v>
      </c>
      <c r="N3" s="5">
        <v>30</v>
      </c>
      <c r="P3" s="5"/>
    </row>
    <row r="4" spans="1:22" ht="14" x14ac:dyDescent="0.3">
      <c r="A4" s="54" t="s">
        <v>43</v>
      </c>
      <c r="M4" s="14" t="s">
        <v>0</v>
      </c>
      <c r="N4" s="15">
        <v>0.06</v>
      </c>
      <c r="O4" s="7"/>
      <c r="P4" s="5"/>
    </row>
    <row r="5" spans="1:22" ht="10.5" customHeight="1" thickBot="1" x14ac:dyDescent="0.35">
      <c r="A5" s="8"/>
      <c r="B5" s="8"/>
      <c r="C5" s="6"/>
      <c r="D5" s="6"/>
      <c r="E5" s="6"/>
      <c r="F5" s="6"/>
      <c r="G5" s="6"/>
      <c r="H5" s="6"/>
      <c r="I5" s="6"/>
      <c r="J5" s="6"/>
      <c r="K5" s="6"/>
      <c r="L5" s="6"/>
      <c r="M5" s="6"/>
      <c r="N5" s="6"/>
      <c r="O5" s="6"/>
      <c r="P5" s="5"/>
    </row>
    <row r="6" spans="1:22" ht="14" x14ac:dyDescent="0.3">
      <c r="A6" s="16"/>
      <c r="B6" s="16"/>
      <c r="C6" s="82" t="s">
        <v>16</v>
      </c>
      <c r="D6" s="82"/>
      <c r="E6" s="82"/>
      <c r="F6" s="82"/>
      <c r="G6" s="82"/>
      <c r="H6" s="82"/>
      <c r="I6" s="82"/>
      <c r="J6" s="82"/>
      <c r="K6" s="82"/>
      <c r="L6" s="83"/>
      <c r="M6" s="18" t="s">
        <v>1</v>
      </c>
      <c r="O6" s="5"/>
    </row>
    <row r="7" spans="1:22" ht="14" x14ac:dyDescent="0.3">
      <c r="B7" s="62">
        <v>0</v>
      </c>
      <c r="C7" s="12">
        <v>1</v>
      </c>
      <c r="D7" s="12">
        <v>2</v>
      </c>
      <c r="E7" s="12">
        <v>3</v>
      </c>
      <c r="F7" s="12">
        <v>4</v>
      </c>
      <c r="G7" s="12">
        <v>5</v>
      </c>
      <c r="H7" s="12">
        <v>6</v>
      </c>
      <c r="I7" s="12">
        <v>7</v>
      </c>
      <c r="J7" s="12">
        <v>8</v>
      </c>
      <c r="K7" s="12">
        <v>9</v>
      </c>
      <c r="L7" s="12">
        <v>10</v>
      </c>
      <c r="M7" s="17" t="s">
        <v>2</v>
      </c>
      <c r="O7" s="5"/>
    </row>
    <row r="8" spans="1:22" ht="14" x14ac:dyDescent="0.3">
      <c r="A8" s="13" t="s">
        <v>27</v>
      </c>
      <c r="B8" s="13"/>
      <c r="C8" s="1"/>
      <c r="D8" s="1"/>
      <c r="E8" s="1"/>
      <c r="F8" s="1"/>
      <c r="G8" s="1"/>
      <c r="H8" s="1"/>
      <c r="I8" s="1"/>
      <c r="J8" s="1"/>
      <c r="K8" s="1"/>
      <c r="L8" s="1"/>
      <c r="O8" s="5"/>
    </row>
    <row r="9" spans="1:22" ht="14" x14ac:dyDescent="0.3">
      <c r="A9" s="34" t="s">
        <v>10</v>
      </c>
      <c r="B9" s="60">
        <v>150</v>
      </c>
      <c r="C9" s="21"/>
      <c r="D9" s="21"/>
      <c r="E9" s="21"/>
      <c r="F9" s="21"/>
      <c r="G9" s="21"/>
      <c r="H9" s="21"/>
      <c r="I9" s="21"/>
      <c r="J9" s="21"/>
      <c r="K9" s="21"/>
      <c r="L9" s="21"/>
      <c r="M9" s="26"/>
      <c r="O9" s="5"/>
      <c r="S9" s="9"/>
    </row>
    <row r="10" spans="1:22" ht="14" x14ac:dyDescent="0.3">
      <c r="A10" s="42" t="s">
        <v>21</v>
      </c>
      <c r="B10" s="61">
        <v>0</v>
      </c>
      <c r="C10" s="22"/>
      <c r="D10" s="22">
        <v>0</v>
      </c>
      <c r="E10" s="22"/>
      <c r="F10" s="22"/>
      <c r="G10" s="22"/>
      <c r="H10" s="22"/>
      <c r="I10" s="22"/>
      <c r="J10" s="22"/>
      <c r="K10" s="22"/>
      <c r="L10" s="22"/>
      <c r="M10" s="27"/>
      <c r="O10" s="5"/>
      <c r="Q10" s="11"/>
      <c r="S10" s="9"/>
    </row>
    <row r="11" spans="1:22" ht="14" x14ac:dyDescent="0.3">
      <c r="A11" s="42" t="s">
        <v>15</v>
      </c>
      <c r="B11" s="64"/>
      <c r="C11" s="25">
        <v>10</v>
      </c>
      <c r="D11" s="25">
        <v>0</v>
      </c>
      <c r="E11" s="25"/>
      <c r="F11" s="25"/>
      <c r="G11" s="25"/>
      <c r="H11" s="25"/>
      <c r="I11" s="25"/>
      <c r="J11" s="25"/>
      <c r="K11" s="25"/>
      <c r="L11" s="25"/>
      <c r="M11" s="27"/>
      <c r="O11" s="5"/>
      <c r="Q11" s="11"/>
      <c r="S11" s="9"/>
    </row>
    <row r="12" spans="1:22" ht="14" x14ac:dyDescent="0.3">
      <c r="A12" s="34" t="s">
        <v>45</v>
      </c>
      <c r="B12" s="60"/>
      <c r="C12" s="25"/>
      <c r="D12" s="25">
        <f>(C20-C19)*$N$3</f>
        <v>30</v>
      </c>
      <c r="E12" s="25">
        <f t="shared" ref="E12:G12" si="0">(D20-D19)*$N$3</f>
        <v>13.499999999999998</v>
      </c>
      <c r="F12" s="25">
        <f t="shared" si="0"/>
        <v>15</v>
      </c>
      <c r="G12" s="25">
        <f t="shared" si="0"/>
        <v>15</v>
      </c>
      <c r="H12" s="25"/>
      <c r="I12" s="25"/>
      <c r="J12" s="25"/>
      <c r="K12" s="25"/>
      <c r="L12" s="25"/>
      <c r="M12" s="27"/>
      <c r="O12" s="5"/>
      <c r="Q12" s="11"/>
      <c r="S12" s="9"/>
    </row>
    <row r="13" spans="1:22" ht="14" x14ac:dyDescent="0.3">
      <c r="A13" s="34" t="s">
        <v>9</v>
      </c>
      <c r="B13" s="60"/>
      <c r="C13" s="25"/>
      <c r="D13" s="25"/>
      <c r="E13" s="25"/>
      <c r="F13" s="25"/>
      <c r="G13" s="25"/>
      <c r="H13" s="25"/>
      <c r="I13" s="25"/>
      <c r="J13" s="25"/>
      <c r="K13" s="25"/>
      <c r="L13" s="25"/>
      <c r="M13" s="27"/>
      <c r="O13" s="5"/>
      <c r="Q13" s="11"/>
      <c r="S13" s="9"/>
    </row>
    <row r="14" spans="1:22" ht="14" x14ac:dyDescent="0.3">
      <c r="A14" s="36" t="s">
        <v>3</v>
      </c>
      <c r="B14" s="66">
        <f>SUM(B9:B13)</f>
        <v>150</v>
      </c>
      <c r="C14" s="23">
        <f>SUM(C9:C13)</f>
        <v>10</v>
      </c>
      <c r="D14" s="23">
        <f t="shared" ref="D14:G14" si="1">SUM(D9:D13)</f>
        <v>30</v>
      </c>
      <c r="E14" s="23">
        <f>SUM(E9:E13)</f>
        <v>13.499999999999998</v>
      </c>
      <c r="F14" s="23">
        <f t="shared" si="1"/>
        <v>15</v>
      </c>
      <c r="G14" s="23">
        <f t="shared" si="1"/>
        <v>15</v>
      </c>
      <c r="H14" s="23"/>
      <c r="I14" s="23"/>
      <c r="J14" s="23"/>
      <c r="K14" s="23"/>
      <c r="L14" s="23"/>
      <c r="M14" s="57">
        <f>SUM(B14:L14)</f>
        <v>233.5</v>
      </c>
      <c r="O14" s="5"/>
      <c r="Q14" s="11"/>
      <c r="S14" s="9"/>
    </row>
    <row r="15" spans="1:22" ht="14" x14ac:dyDescent="0.3">
      <c r="A15" s="34" t="s">
        <v>5</v>
      </c>
      <c r="B15" s="65">
        <v>1</v>
      </c>
      <c r="C15" s="24">
        <f>1/(1+$N$4)^C7</f>
        <v>0.94339622641509424</v>
      </c>
      <c r="D15" s="24">
        <f>1/(1+$N$4)^D7</f>
        <v>0.88999644001423983</v>
      </c>
      <c r="E15" s="24">
        <f>1/(1+$N$4)^E7</f>
        <v>0.8396192830323016</v>
      </c>
      <c r="F15" s="24">
        <f>1/(1+$N$4)^F7</f>
        <v>0.79209366323802044</v>
      </c>
      <c r="G15" s="24">
        <f>1/(1+$N$4)^G7</f>
        <v>0.74725817286605689</v>
      </c>
      <c r="H15" s="24"/>
      <c r="I15" s="24"/>
      <c r="J15" s="24"/>
      <c r="K15" s="24"/>
      <c r="L15" s="24"/>
      <c r="M15" s="57"/>
      <c r="O15" s="5"/>
      <c r="Q15" s="11"/>
      <c r="S15" s="9"/>
    </row>
    <row r="16" spans="1:22" s="38" customFormat="1" ht="14" x14ac:dyDescent="0.3">
      <c r="A16" s="36" t="s">
        <v>6</v>
      </c>
      <c r="B16" s="63">
        <f>B14*B15</f>
        <v>150</v>
      </c>
      <c r="C16" s="56">
        <f>C14*C15</f>
        <v>9.4339622641509422</v>
      </c>
      <c r="D16" s="56">
        <f t="shared" ref="D16:G16" si="2">D14*D15</f>
        <v>26.699893200427194</v>
      </c>
      <c r="E16" s="56">
        <f t="shared" si="2"/>
        <v>11.33486032093607</v>
      </c>
      <c r="F16" s="56">
        <f t="shared" si="2"/>
        <v>11.881404948570307</v>
      </c>
      <c r="G16" s="56">
        <f t="shared" si="2"/>
        <v>11.208872592990854</v>
      </c>
      <c r="H16" s="56"/>
      <c r="I16" s="56"/>
      <c r="J16" s="56"/>
      <c r="K16" s="56"/>
      <c r="L16" s="56"/>
      <c r="M16" s="57">
        <f>SUM(B16:L16)</f>
        <v>220.55899332707534</v>
      </c>
      <c r="O16" s="39"/>
      <c r="Q16" s="40"/>
      <c r="S16" s="41"/>
    </row>
    <row r="17" spans="1:19" ht="14" x14ac:dyDescent="0.3">
      <c r="A17" s="34"/>
      <c r="B17" s="34"/>
      <c r="C17" s="28"/>
      <c r="D17" s="28"/>
      <c r="E17" s="28"/>
      <c r="F17" s="28"/>
      <c r="G17" s="28"/>
      <c r="H17" s="28"/>
      <c r="I17" s="28"/>
      <c r="J17" s="28"/>
      <c r="K17" s="28"/>
      <c r="L17" s="28"/>
      <c r="M17" s="26"/>
      <c r="O17" s="5"/>
      <c r="Q17" s="11"/>
      <c r="S17" s="9"/>
    </row>
    <row r="18" spans="1:19" ht="14" x14ac:dyDescent="0.3">
      <c r="A18" s="35" t="s">
        <v>28</v>
      </c>
      <c r="B18" s="35"/>
      <c r="C18" s="29"/>
      <c r="D18" s="29"/>
      <c r="E18" s="29"/>
      <c r="F18" s="29"/>
      <c r="G18" s="29"/>
      <c r="H18" s="29"/>
      <c r="I18" s="29"/>
      <c r="J18" s="29"/>
      <c r="K18" s="29"/>
      <c r="L18" s="29"/>
      <c r="M18" s="30"/>
      <c r="O18" s="5"/>
      <c r="Q18" s="11"/>
      <c r="S18" s="9"/>
    </row>
    <row r="19" spans="1:19" ht="14" x14ac:dyDescent="0.3">
      <c r="A19" s="34" t="s">
        <v>14</v>
      </c>
      <c r="B19" s="34"/>
      <c r="C19" s="43">
        <v>0.5</v>
      </c>
      <c r="D19" s="43">
        <v>0.5</v>
      </c>
      <c r="E19" s="43">
        <v>1.9</v>
      </c>
      <c r="F19" s="43">
        <v>1.2</v>
      </c>
      <c r="G19" s="43">
        <v>0.43</v>
      </c>
      <c r="H19" s="43"/>
      <c r="I19" s="43"/>
      <c r="J19" s="43"/>
      <c r="K19" s="43"/>
      <c r="L19" s="43"/>
      <c r="M19" s="37">
        <f>SUM(C19:L19)</f>
        <v>4.5299999999999994</v>
      </c>
      <c r="O19" s="5"/>
      <c r="Q19" s="11"/>
      <c r="S19" s="9"/>
    </row>
    <row r="20" spans="1:19" ht="14" x14ac:dyDescent="0.3">
      <c r="A20" s="34" t="s">
        <v>13</v>
      </c>
      <c r="B20" s="34"/>
      <c r="C20" s="43">
        <v>1.5</v>
      </c>
      <c r="D20" s="43">
        <v>0.95</v>
      </c>
      <c r="E20" s="43">
        <v>2.4</v>
      </c>
      <c r="F20" s="43">
        <v>1.7</v>
      </c>
      <c r="G20" s="43">
        <v>0.51</v>
      </c>
      <c r="H20" s="43"/>
      <c r="I20" s="43"/>
      <c r="J20" s="43"/>
      <c r="K20" s="43"/>
      <c r="L20" s="43"/>
      <c r="M20" s="37">
        <f>SUM(C20:L20)</f>
        <v>7.06</v>
      </c>
      <c r="O20" s="5"/>
      <c r="Q20" s="11"/>
      <c r="S20" s="9"/>
    </row>
    <row r="21" spans="1:19" ht="14" x14ac:dyDescent="0.3">
      <c r="A21" s="34" t="s">
        <v>12</v>
      </c>
      <c r="B21" s="34"/>
      <c r="C21" s="44">
        <v>230</v>
      </c>
      <c r="D21" s="44">
        <v>230</v>
      </c>
      <c r="E21" s="44">
        <v>360</v>
      </c>
      <c r="F21" s="44">
        <v>230</v>
      </c>
      <c r="G21" s="44">
        <v>220</v>
      </c>
      <c r="H21" s="44"/>
      <c r="I21" s="44"/>
      <c r="J21" s="44"/>
      <c r="K21" s="44"/>
      <c r="L21" s="44"/>
      <c r="M21" s="30"/>
      <c r="O21" s="5"/>
      <c r="Q21" s="11"/>
      <c r="S21" s="9"/>
    </row>
    <row r="22" spans="1:19" ht="14" x14ac:dyDescent="0.3">
      <c r="A22" s="34" t="s">
        <v>11</v>
      </c>
      <c r="B22" s="34"/>
      <c r="C22" s="29">
        <f>(C20-C19)*C21</f>
        <v>230</v>
      </c>
      <c r="D22" s="29">
        <f t="shared" ref="D22:G22" si="3">(D20-D19)*D21</f>
        <v>103.49999999999999</v>
      </c>
      <c r="E22" s="29">
        <f t="shared" si="3"/>
        <v>180</v>
      </c>
      <c r="F22" s="29">
        <f t="shared" si="3"/>
        <v>115</v>
      </c>
      <c r="G22" s="29">
        <f t="shared" si="3"/>
        <v>17.600000000000005</v>
      </c>
      <c r="H22" s="29"/>
      <c r="I22" s="29"/>
      <c r="J22" s="29"/>
      <c r="K22" s="29"/>
      <c r="L22" s="29"/>
      <c r="M22" s="48">
        <f>SUM(C22:L22)</f>
        <v>646.1</v>
      </c>
      <c r="O22" s="5"/>
      <c r="Q22" s="11"/>
      <c r="S22" s="9"/>
    </row>
    <row r="23" spans="1:19" ht="14" x14ac:dyDescent="0.3">
      <c r="A23" s="34"/>
      <c r="B23" s="34"/>
      <c r="C23" s="45"/>
      <c r="D23" s="45"/>
      <c r="E23" s="45"/>
      <c r="F23" s="45"/>
      <c r="G23" s="45"/>
      <c r="H23" s="45"/>
      <c r="I23" s="45"/>
      <c r="J23" s="45"/>
      <c r="K23" s="45"/>
      <c r="L23" s="45"/>
      <c r="M23" s="46"/>
      <c r="O23" s="5"/>
      <c r="Q23" s="11"/>
      <c r="S23" s="9"/>
    </row>
    <row r="24" spans="1:19" s="38" customFormat="1" ht="14" x14ac:dyDescent="0.3">
      <c r="A24" s="36" t="s">
        <v>26</v>
      </c>
      <c r="B24" s="36"/>
      <c r="C24" s="47">
        <f>C22*C15</f>
        <v>216.98113207547166</v>
      </c>
      <c r="D24" s="47">
        <f t="shared" ref="D24:G24" si="4">D22*D15</f>
        <v>92.114631541473813</v>
      </c>
      <c r="E24" s="47">
        <f t="shared" si="4"/>
        <v>151.1314709458143</v>
      </c>
      <c r="F24" s="47">
        <f t="shared" si="4"/>
        <v>91.090771272372351</v>
      </c>
      <c r="G24" s="47">
        <f t="shared" si="4"/>
        <v>13.151743842442604</v>
      </c>
      <c r="H24" s="47"/>
      <c r="I24" s="47"/>
      <c r="J24" s="47"/>
      <c r="K24" s="47"/>
      <c r="L24" s="47"/>
      <c r="M24" s="48">
        <f>SUM(C24:L24)</f>
        <v>564.46974967757467</v>
      </c>
      <c r="O24" s="39"/>
      <c r="Q24" s="40"/>
      <c r="S24" s="41"/>
    </row>
    <row r="25" spans="1:19" ht="14" x14ac:dyDescent="0.3">
      <c r="A25" s="1"/>
      <c r="B25" s="1"/>
      <c r="C25" s="28"/>
      <c r="D25" s="28"/>
      <c r="E25" s="28"/>
      <c r="F25" s="28"/>
      <c r="G25" s="28"/>
      <c r="H25" s="28"/>
      <c r="I25" s="28"/>
      <c r="J25" s="28"/>
      <c r="K25" s="28"/>
      <c r="L25" s="28"/>
      <c r="M25" s="30"/>
      <c r="O25" s="5"/>
      <c r="S25" s="9"/>
    </row>
    <row r="26" spans="1:19" ht="14" x14ac:dyDescent="0.3">
      <c r="A26" s="13" t="s">
        <v>8</v>
      </c>
      <c r="B26" s="13"/>
      <c r="C26" s="31"/>
      <c r="D26" s="31"/>
      <c r="E26" s="31"/>
      <c r="F26" s="31"/>
      <c r="G26" s="31"/>
      <c r="H26" s="31"/>
      <c r="I26" s="31"/>
      <c r="J26" s="31"/>
      <c r="K26" s="31"/>
      <c r="L26" s="31"/>
      <c r="M26" s="10"/>
      <c r="O26" s="5"/>
      <c r="R26" s="11"/>
    </row>
    <row r="27" spans="1:19" ht="14" x14ac:dyDescent="0.3">
      <c r="A27" s="2" t="s">
        <v>7</v>
      </c>
      <c r="B27" s="32">
        <f>B22-B14</f>
        <v>-150</v>
      </c>
      <c r="C27" s="32">
        <f>C22-C14</f>
        <v>220</v>
      </c>
      <c r="D27" s="32">
        <f t="shared" ref="D27:G27" si="5">D22-D14</f>
        <v>73.499999999999986</v>
      </c>
      <c r="E27" s="32">
        <f t="shared" si="5"/>
        <v>166.5</v>
      </c>
      <c r="F27" s="32">
        <f t="shared" si="5"/>
        <v>100</v>
      </c>
      <c r="G27" s="32">
        <f t="shared" si="5"/>
        <v>2.600000000000005</v>
      </c>
      <c r="H27" s="32"/>
      <c r="I27" s="32"/>
      <c r="J27" s="32"/>
      <c r="K27" s="32"/>
      <c r="L27" s="32"/>
      <c r="M27" s="33">
        <f>SUM(B27:L27)</f>
        <v>412.6</v>
      </c>
      <c r="O27" s="5"/>
      <c r="R27" s="11"/>
    </row>
    <row r="28" spans="1:19" ht="14" x14ac:dyDescent="0.3">
      <c r="A28" s="2" t="s">
        <v>20</v>
      </c>
      <c r="B28" s="32">
        <f>B24-B16</f>
        <v>-150</v>
      </c>
      <c r="C28" s="32">
        <f>C24-C16</f>
        <v>207.54716981132071</v>
      </c>
      <c r="D28" s="32">
        <f t="shared" ref="D28:G28" si="6">D24-D16</f>
        <v>65.414738341046615</v>
      </c>
      <c r="E28" s="32">
        <f t="shared" si="6"/>
        <v>139.79661062487824</v>
      </c>
      <c r="F28" s="32">
        <f t="shared" si="6"/>
        <v>79.209366323802044</v>
      </c>
      <c r="G28" s="32">
        <f t="shared" si="6"/>
        <v>1.9428712494517502</v>
      </c>
      <c r="H28" s="32"/>
      <c r="I28" s="32"/>
      <c r="J28" s="32"/>
      <c r="K28" s="32"/>
      <c r="L28" s="32"/>
      <c r="M28" s="58">
        <f>SUM(B28:L28)</f>
        <v>343.91075635049935</v>
      </c>
      <c r="O28" s="5"/>
      <c r="R28" s="11"/>
    </row>
    <row r="29" spans="1:19" ht="14" x14ac:dyDescent="0.3">
      <c r="A29" s="2" t="s">
        <v>19</v>
      </c>
      <c r="B29" s="32">
        <f>B28</f>
        <v>-150</v>
      </c>
      <c r="C29" s="32">
        <f>B28+C28</f>
        <v>57.547169811320714</v>
      </c>
      <c r="D29" s="32">
        <f>D28+C29</f>
        <v>122.96190815236733</v>
      </c>
      <c r="E29" s="32">
        <f t="shared" ref="E29:G29" si="7">E28+D29</f>
        <v>262.75851877724557</v>
      </c>
      <c r="F29" s="32">
        <f t="shared" si="7"/>
        <v>341.96788510104761</v>
      </c>
      <c r="G29" s="32">
        <f t="shared" si="7"/>
        <v>343.91075635049935</v>
      </c>
      <c r="H29" s="32"/>
      <c r="I29" s="32"/>
      <c r="J29" s="32"/>
      <c r="K29" s="32"/>
      <c r="L29" s="32"/>
      <c r="M29" s="58"/>
      <c r="O29" s="5"/>
      <c r="R29" s="11"/>
    </row>
    <row r="30" spans="1:19" ht="14" x14ac:dyDescent="0.3">
      <c r="A30" s="2" t="s">
        <v>17</v>
      </c>
      <c r="B30" s="20">
        <f>(SUM(B22)-SUM(B14:B14))/SUM(B14:B14)</f>
        <v>-1</v>
      </c>
      <c r="C30" s="20">
        <f>(SUM($B$22:C22)-SUM($B$14:C14))/SUM($B$14:C14)</f>
        <v>0.4375</v>
      </c>
      <c r="D30" s="20">
        <f>(SUM($B$22:D22)-SUM($B$14:D14))/SUM($B$14:D14)</f>
        <v>0.75526315789473686</v>
      </c>
      <c r="E30" s="20">
        <f>(SUM($B$22:E22)-SUM($B$14:E14))/SUM($B$14:E14)</f>
        <v>1.5233415233415233</v>
      </c>
      <c r="F30" s="20">
        <f>(SUM($B$22:F22)-SUM($B$14:F14))/SUM($B$14:F14)</f>
        <v>1.8764302059496567</v>
      </c>
      <c r="G30" s="20">
        <f>(SUM($B$22:G22)-SUM($B$14:G14))/SUM($B$14:G14)</f>
        <v>1.7670235546038544</v>
      </c>
      <c r="H30" s="20"/>
      <c r="I30" s="20"/>
      <c r="J30" s="20"/>
      <c r="K30" s="20"/>
      <c r="L30" s="20"/>
      <c r="M30" s="59">
        <f>(M22-M14)/M14</f>
        <v>1.7670235546038544</v>
      </c>
    </row>
    <row r="31" spans="1:19" ht="14" x14ac:dyDescent="0.3">
      <c r="A31" s="2" t="s">
        <v>29</v>
      </c>
      <c r="B31" s="20">
        <f>(SUM(B23)-SUM(B15:B15))/SUM(B15:B15)</f>
        <v>-1</v>
      </c>
      <c r="C31" s="20">
        <f>(SUM($B$24:C24)-SUM($B$16:C16))/SUM($B$16:C16)</f>
        <v>0.36094674556212991</v>
      </c>
      <c r="D31" s="20">
        <f>(SUM($B$24:D24)-SUM($B$16:D16))/SUM($B$16:D16)</f>
        <v>0.66061011762455735</v>
      </c>
      <c r="E31" s="20">
        <f>(SUM($B$24:E24)-SUM($B$16:E16))/SUM($B$16:E16)</f>
        <v>1.3306336537006076</v>
      </c>
      <c r="F31" s="20">
        <f>(SUM($B$24:F24)-SUM($B$16:F16))/SUM($B$16:F16)</f>
        <v>1.6334735509200569</v>
      </c>
      <c r="G31" s="20">
        <f>(SUM($B$24:G24)-SUM($B$16:G16))/SUM($B$16:G16)</f>
        <v>1.5592687977157249</v>
      </c>
      <c r="H31" s="20"/>
      <c r="I31" s="20"/>
      <c r="J31" s="20"/>
      <c r="K31" s="20"/>
      <c r="L31" s="20"/>
      <c r="M31" s="59">
        <f>(M24-M16)/M16</f>
        <v>1.5592687977157249</v>
      </c>
    </row>
    <row r="32" spans="1:19" ht="14" x14ac:dyDescent="0.3">
      <c r="A32" s="2" t="s">
        <v>18</v>
      </c>
      <c r="B32" s="20"/>
      <c r="C32" s="20"/>
      <c r="D32" s="20"/>
      <c r="E32" s="20"/>
      <c r="F32" s="20"/>
      <c r="G32" s="20"/>
      <c r="H32" s="20"/>
      <c r="I32" s="20"/>
      <c r="J32" s="20"/>
      <c r="K32" s="20"/>
      <c r="L32" s="20"/>
      <c r="M32" s="19">
        <f>M24/M16</f>
        <v>2.5592687977157249</v>
      </c>
    </row>
    <row r="33" spans="1:15" s="71" customFormat="1" ht="13.9" customHeight="1" x14ac:dyDescent="0.3">
      <c r="A33" s="68" t="s">
        <v>4</v>
      </c>
      <c r="B33" s="68"/>
      <c r="C33" s="69"/>
      <c r="D33" s="69"/>
      <c r="E33" s="69"/>
      <c r="F33" s="69"/>
      <c r="G33" s="69"/>
      <c r="H33" s="69"/>
      <c r="I33" s="69"/>
      <c r="J33" s="69"/>
      <c r="K33" s="69"/>
      <c r="L33" s="69"/>
      <c r="M33" s="70">
        <f>M24-M16</f>
        <v>343.91075635049935</v>
      </c>
      <c r="O33" s="72"/>
    </row>
    <row r="34" spans="1:15" s="74" customFormat="1" ht="19.899999999999999" customHeight="1" x14ac:dyDescent="0.3">
      <c r="A34" s="73" t="s">
        <v>25</v>
      </c>
      <c r="M34" s="75">
        <f>MIRR(B27:L27,N4,N4)</f>
        <v>0.3452943254514651</v>
      </c>
    </row>
    <row r="36" spans="1:15" x14ac:dyDescent="0.25">
      <c r="A36" s="54" t="s">
        <v>23</v>
      </c>
    </row>
    <row r="37" spans="1:15" x14ac:dyDescent="0.25">
      <c r="A37" s="54" t="s">
        <v>24</v>
      </c>
    </row>
    <row r="39" spans="1:15" x14ac:dyDescent="0.25">
      <c r="B39" t="s">
        <v>31</v>
      </c>
      <c r="C39" t="s">
        <v>32</v>
      </c>
      <c r="D39" t="s">
        <v>33</v>
      </c>
      <c r="E39" t="s">
        <v>34</v>
      </c>
      <c r="F39" t="s">
        <v>35</v>
      </c>
      <c r="G39" t="s">
        <v>36</v>
      </c>
    </row>
    <row r="40" spans="1:15" x14ac:dyDescent="0.25">
      <c r="A40" t="s">
        <v>37</v>
      </c>
      <c r="B40" s="76">
        <f>B28</f>
        <v>-150</v>
      </c>
      <c r="C40" s="76">
        <f>C28+B40</f>
        <v>57.547169811320714</v>
      </c>
      <c r="D40" s="76">
        <f>D28+C40</f>
        <v>122.96190815236733</v>
      </c>
      <c r="E40" s="76">
        <f t="shared" ref="E40:G40" si="8">E28+D40</f>
        <v>262.75851877724557</v>
      </c>
      <c r="F40" s="76">
        <f t="shared" si="8"/>
        <v>341.96788510104761</v>
      </c>
      <c r="G40" s="76">
        <f t="shared" si="8"/>
        <v>343.91075635049935</v>
      </c>
    </row>
  </sheetData>
  <mergeCells count="2">
    <mergeCell ref="A1:N1"/>
    <mergeCell ref="C6:L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V40"/>
  <sheetViews>
    <sheetView zoomScale="82" zoomScaleNormal="82" workbookViewId="0">
      <selection activeCell="A32" sqref="A32:XFD34"/>
    </sheetView>
  </sheetViews>
  <sheetFormatPr defaultRowHeight="12.5" x14ac:dyDescent="0.25"/>
  <cols>
    <col min="1" max="1" width="45.1796875" customWidth="1"/>
    <col min="2" max="2" width="15.7265625" customWidth="1"/>
    <col min="3" max="3" width="21.26953125" customWidth="1"/>
    <col min="4" max="10" width="13" customWidth="1"/>
    <col min="11" max="13" width="14.1796875" customWidth="1"/>
    <col min="14" max="14" width="13.81640625" customWidth="1"/>
    <col min="15" max="15" width="14.26953125" customWidth="1"/>
    <col min="16" max="16" width="3.26953125" customWidth="1"/>
    <col min="18" max="18" width="11.1796875" bestFit="1" customWidth="1"/>
    <col min="19" max="20" width="12.7265625" bestFit="1" customWidth="1"/>
  </cols>
  <sheetData>
    <row r="1" spans="1:22" ht="17.25" customHeight="1" x14ac:dyDescent="0.35">
      <c r="A1" s="84" t="s">
        <v>22</v>
      </c>
      <c r="B1" s="84"/>
      <c r="C1" s="85"/>
      <c r="D1" s="85"/>
      <c r="E1" s="85"/>
      <c r="F1" s="85"/>
      <c r="G1" s="85"/>
      <c r="H1" s="85"/>
      <c r="I1" s="85"/>
      <c r="J1" s="85"/>
      <c r="K1" s="85"/>
      <c r="L1" s="85"/>
      <c r="M1" s="86"/>
      <c r="N1" s="86"/>
      <c r="O1" s="5"/>
      <c r="P1" s="5"/>
      <c r="Q1" s="5"/>
      <c r="R1" s="5"/>
      <c r="S1" s="5"/>
      <c r="T1" s="5"/>
      <c r="U1" s="5"/>
      <c r="V1" s="5"/>
    </row>
    <row r="2" spans="1:22" ht="12.75" customHeight="1" x14ac:dyDescent="0.35">
      <c r="A2" s="3"/>
      <c r="B2" s="3"/>
      <c r="C2" s="4"/>
      <c r="D2" s="4"/>
      <c r="E2" s="4"/>
      <c r="F2" s="4"/>
      <c r="G2" s="4"/>
      <c r="H2" s="4"/>
      <c r="I2" s="4"/>
      <c r="J2" s="4"/>
      <c r="K2" s="4"/>
      <c r="L2" s="4"/>
      <c r="M2" s="4"/>
      <c r="N2" s="5"/>
      <c r="O2" s="5"/>
      <c r="P2" s="5"/>
      <c r="Q2" s="5"/>
      <c r="R2" s="5"/>
      <c r="S2" s="5"/>
      <c r="T2" s="5"/>
      <c r="U2" s="5"/>
      <c r="V2" s="5"/>
    </row>
    <row r="3" spans="1:22" x14ac:dyDescent="0.25">
      <c r="A3" s="5"/>
      <c r="B3" s="5"/>
      <c r="C3" s="5"/>
      <c r="D3" s="5"/>
      <c r="E3" s="55"/>
      <c r="F3" s="5"/>
      <c r="G3" s="5"/>
      <c r="H3" s="5"/>
      <c r="I3" s="5"/>
      <c r="J3" s="5"/>
      <c r="K3" s="5"/>
      <c r="L3" s="5"/>
      <c r="M3" s="5" t="s">
        <v>42</v>
      </c>
      <c r="N3" s="5">
        <v>30</v>
      </c>
      <c r="P3" s="5"/>
    </row>
    <row r="4" spans="1:22" ht="14" x14ac:dyDescent="0.3">
      <c r="A4" t="s">
        <v>40</v>
      </c>
      <c r="M4" s="14" t="s">
        <v>0</v>
      </c>
      <c r="N4" s="15">
        <v>0.06</v>
      </c>
      <c r="O4" s="7"/>
      <c r="P4" s="5"/>
    </row>
    <row r="5" spans="1:22" ht="10.5" customHeight="1" thickBot="1" x14ac:dyDescent="0.35">
      <c r="A5" s="8"/>
      <c r="B5" s="8"/>
      <c r="C5" s="6"/>
      <c r="D5" s="6"/>
      <c r="E5" s="6"/>
      <c r="F5" s="6"/>
      <c r="G5" s="6"/>
      <c r="H5" s="6"/>
      <c r="I5" s="6"/>
      <c r="J5" s="6"/>
      <c r="K5" s="6"/>
      <c r="L5" s="6"/>
      <c r="M5" s="6"/>
      <c r="N5" s="6"/>
      <c r="O5" s="6"/>
      <c r="P5" s="5"/>
    </row>
    <row r="6" spans="1:22" ht="14" x14ac:dyDescent="0.3">
      <c r="A6" s="16"/>
      <c r="B6" s="16"/>
      <c r="C6" s="82" t="s">
        <v>16</v>
      </c>
      <c r="D6" s="82"/>
      <c r="E6" s="82"/>
      <c r="F6" s="82"/>
      <c r="G6" s="82"/>
      <c r="H6" s="82"/>
      <c r="I6" s="82"/>
      <c r="J6" s="82"/>
      <c r="K6" s="82"/>
      <c r="L6" s="83"/>
      <c r="M6" s="18" t="s">
        <v>1</v>
      </c>
      <c r="O6" s="5"/>
    </row>
    <row r="7" spans="1:22" ht="14" x14ac:dyDescent="0.3">
      <c r="B7" s="62">
        <v>0</v>
      </c>
      <c r="C7" s="12">
        <v>1</v>
      </c>
      <c r="D7" s="12">
        <v>2</v>
      </c>
      <c r="E7" s="12">
        <v>3</v>
      </c>
      <c r="F7" s="12">
        <v>4</v>
      </c>
      <c r="G7" s="12">
        <v>5</v>
      </c>
      <c r="H7" s="12">
        <v>6</v>
      </c>
      <c r="I7" s="12">
        <v>7</v>
      </c>
      <c r="J7" s="12">
        <v>8</v>
      </c>
      <c r="K7" s="12">
        <v>9</v>
      </c>
      <c r="L7" s="12">
        <v>10</v>
      </c>
      <c r="M7" s="17" t="s">
        <v>2</v>
      </c>
      <c r="O7" s="5"/>
    </row>
    <row r="8" spans="1:22" ht="14" x14ac:dyDescent="0.3">
      <c r="A8" s="13" t="s">
        <v>27</v>
      </c>
      <c r="B8" s="13"/>
      <c r="C8" s="1" t="s">
        <v>38</v>
      </c>
      <c r="D8" s="1" t="s">
        <v>39</v>
      </c>
      <c r="E8" s="1" t="s">
        <v>38</v>
      </c>
      <c r="F8" s="1"/>
      <c r="G8" s="1"/>
      <c r="H8" s="1"/>
      <c r="I8" s="1"/>
      <c r="J8" s="1"/>
      <c r="K8" s="1"/>
      <c r="L8" s="1"/>
      <c r="O8" s="5"/>
    </row>
    <row r="9" spans="1:22" ht="14" x14ac:dyDescent="0.3">
      <c r="A9" s="34" t="s">
        <v>10</v>
      </c>
      <c r="B9" s="60">
        <v>65</v>
      </c>
      <c r="C9" s="21"/>
      <c r="D9" s="21"/>
      <c r="E9" s="21"/>
      <c r="F9" s="21"/>
      <c r="G9" s="21"/>
      <c r="H9" s="21"/>
      <c r="I9" s="21"/>
      <c r="J9" s="21"/>
      <c r="K9" s="21"/>
      <c r="L9" s="21"/>
      <c r="M9" s="26"/>
      <c r="O9" s="5"/>
      <c r="S9" s="9"/>
    </row>
    <row r="10" spans="1:22" ht="14" x14ac:dyDescent="0.3">
      <c r="A10" s="42" t="s">
        <v>21</v>
      </c>
      <c r="B10" s="61">
        <v>0</v>
      </c>
      <c r="C10" s="22"/>
      <c r="D10" s="22">
        <v>0</v>
      </c>
      <c r="E10" s="22"/>
      <c r="F10" s="22"/>
      <c r="G10" s="22"/>
      <c r="H10" s="22"/>
      <c r="I10" s="22"/>
      <c r="J10" s="22"/>
      <c r="K10" s="22"/>
      <c r="L10" s="22"/>
      <c r="M10" s="27"/>
      <c r="O10" s="5"/>
      <c r="Q10" s="11"/>
      <c r="S10" s="9"/>
    </row>
    <row r="11" spans="1:22" ht="14" x14ac:dyDescent="0.3">
      <c r="A11" s="42" t="s">
        <v>15</v>
      </c>
      <c r="B11" s="64"/>
      <c r="C11" s="25">
        <v>0</v>
      </c>
      <c r="D11" s="25">
        <v>0</v>
      </c>
      <c r="E11" s="25"/>
      <c r="F11" s="25"/>
      <c r="G11" s="25"/>
      <c r="H11" s="25"/>
      <c r="I11" s="25"/>
      <c r="J11" s="25"/>
      <c r="K11" s="25"/>
      <c r="L11" s="25"/>
      <c r="M11" s="27"/>
      <c r="O11" s="5"/>
      <c r="Q11" s="11"/>
      <c r="S11" s="9"/>
    </row>
    <row r="12" spans="1:22" ht="14" x14ac:dyDescent="0.3">
      <c r="A12" s="34" t="s">
        <v>41</v>
      </c>
      <c r="B12" s="60"/>
      <c r="C12" s="25"/>
      <c r="D12" s="25">
        <f>(C20-C19)*$N$3</f>
        <v>26.999999999999996</v>
      </c>
      <c r="E12" s="25">
        <f>(D20-D19)*$N$3</f>
        <v>11.999999999999996</v>
      </c>
      <c r="F12" s="25"/>
      <c r="G12" s="25"/>
      <c r="H12" s="25"/>
      <c r="I12" s="25"/>
      <c r="J12" s="25"/>
      <c r="K12" s="25"/>
      <c r="L12" s="25"/>
      <c r="M12" s="27"/>
      <c r="O12" s="5"/>
      <c r="Q12" s="11"/>
      <c r="S12" s="9"/>
    </row>
    <row r="13" spans="1:22" ht="14" x14ac:dyDescent="0.3">
      <c r="A13" s="34" t="s">
        <v>9</v>
      </c>
      <c r="B13" s="60"/>
      <c r="C13" s="25"/>
      <c r="D13" s="25"/>
      <c r="E13" s="25"/>
      <c r="F13" s="25"/>
      <c r="G13" s="25"/>
      <c r="H13" s="25"/>
      <c r="I13" s="25"/>
      <c r="J13" s="25"/>
      <c r="K13" s="25"/>
      <c r="L13" s="25"/>
      <c r="M13" s="27"/>
      <c r="O13" s="5"/>
      <c r="Q13" s="11"/>
      <c r="S13" s="9"/>
    </row>
    <row r="14" spans="1:22" ht="14" x14ac:dyDescent="0.3">
      <c r="A14" s="36" t="s">
        <v>3</v>
      </c>
      <c r="B14" s="66">
        <f>SUM(B9:B13)</f>
        <v>65</v>
      </c>
      <c r="C14" s="23">
        <f>SUM(C9:C13)</f>
        <v>0</v>
      </c>
      <c r="D14" s="23">
        <f t="shared" ref="D14:G14" si="0">SUM(D9:D13)</f>
        <v>26.999999999999996</v>
      </c>
      <c r="E14" s="23">
        <f>SUM(E9:E13)</f>
        <v>11.999999999999996</v>
      </c>
      <c r="F14" s="23">
        <f t="shared" si="0"/>
        <v>0</v>
      </c>
      <c r="G14" s="23">
        <f t="shared" si="0"/>
        <v>0</v>
      </c>
      <c r="H14" s="23"/>
      <c r="I14" s="23"/>
      <c r="J14" s="23"/>
      <c r="K14" s="23"/>
      <c r="L14" s="23"/>
      <c r="M14" s="57">
        <f>SUM(B14:L14)</f>
        <v>104</v>
      </c>
      <c r="O14" s="5"/>
      <c r="Q14" s="11"/>
      <c r="S14" s="9"/>
    </row>
    <row r="15" spans="1:22" ht="14" x14ac:dyDescent="0.3">
      <c r="A15" s="34" t="s">
        <v>5</v>
      </c>
      <c r="B15" s="65">
        <v>1</v>
      </c>
      <c r="C15" s="24">
        <f>1/(1+$N$4)^C7</f>
        <v>0.94339622641509424</v>
      </c>
      <c r="D15" s="24">
        <f>1/(1+$N$4)^D7</f>
        <v>0.88999644001423983</v>
      </c>
      <c r="E15" s="24">
        <f>1/(1+$N$4)^E7</f>
        <v>0.8396192830323016</v>
      </c>
      <c r="F15" s="24"/>
      <c r="G15" s="24"/>
      <c r="H15" s="24"/>
      <c r="I15" s="24"/>
      <c r="J15" s="24"/>
      <c r="K15" s="24"/>
      <c r="L15" s="24"/>
      <c r="M15" s="57"/>
      <c r="O15" s="5"/>
      <c r="Q15" s="11"/>
      <c r="S15" s="9"/>
    </row>
    <row r="16" spans="1:22" s="38" customFormat="1" ht="14" x14ac:dyDescent="0.3">
      <c r="A16" s="36" t="s">
        <v>6</v>
      </c>
      <c r="B16" s="63">
        <f>B14*B15</f>
        <v>65</v>
      </c>
      <c r="C16" s="56">
        <f>C14*C15</f>
        <v>0</v>
      </c>
      <c r="D16" s="56">
        <f t="shared" ref="D16:G16" si="1">D14*D15</f>
        <v>24.029903880384474</v>
      </c>
      <c r="E16" s="56">
        <f t="shared" si="1"/>
        <v>10.075431396387616</v>
      </c>
      <c r="F16" s="56">
        <f t="shared" si="1"/>
        <v>0</v>
      </c>
      <c r="G16" s="56">
        <f t="shared" si="1"/>
        <v>0</v>
      </c>
      <c r="H16" s="56"/>
      <c r="I16" s="56"/>
      <c r="J16" s="56"/>
      <c r="K16" s="56"/>
      <c r="L16" s="56"/>
      <c r="M16" s="57">
        <f>SUM(B16:L16)</f>
        <v>99.105335276772081</v>
      </c>
      <c r="O16" s="39"/>
      <c r="Q16" s="40"/>
      <c r="S16" s="41"/>
    </row>
    <row r="17" spans="1:19" ht="14" x14ac:dyDescent="0.3">
      <c r="A17" s="34"/>
      <c r="B17" s="34"/>
      <c r="C17" s="28"/>
      <c r="D17" s="28"/>
      <c r="E17" s="28"/>
      <c r="F17" s="28"/>
      <c r="G17" s="28"/>
      <c r="H17" s="28"/>
      <c r="I17" s="28"/>
      <c r="J17" s="28"/>
      <c r="K17" s="28"/>
      <c r="L17" s="28"/>
      <c r="M17" s="26"/>
      <c r="O17" s="5"/>
      <c r="Q17" s="11"/>
      <c r="S17" s="9"/>
    </row>
    <row r="18" spans="1:19" ht="14" x14ac:dyDescent="0.3">
      <c r="A18" s="35" t="s">
        <v>28</v>
      </c>
      <c r="B18" s="35"/>
      <c r="C18" s="29"/>
      <c r="D18" s="29"/>
      <c r="E18" s="29"/>
      <c r="F18" s="29"/>
      <c r="G18" s="29"/>
      <c r="H18" s="29"/>
      <c r="I18" s="29"/>
      <c r="J18" s="29"/>
      <c r="K18" s="29"/>
      <c r="L18" s="29"/>
      <c r="M18" s="30"/>
      <c r="O18" s="5"/>
      <c r="Q18" s="11"/>
      <c r="S18" s="9"/>
    </row>
    <row r="19" spans="1:19" ht="14" x14ac:dyDescent="0.3">
      <c r="A19" s="34" t="s">
        <v>14</v>
      </c>
      <c r="B19" s="34"/>
      <c r="C19" s="43">
        <v>1.9</v>
      </c>
      <c r="D19" s="43">
        <v>1</v>
      </c>
      <c r="E19" s="43">
        <v>1.4</v>
      </c>
      <c r="F19" s="43"/>
      <c r="G19" s="43"/>
      <c r="H19" s="43"/>
      <c r="I19" s="43"/>
      <c r="J19" s="43"/>
      <c r="K19" s="43"/>
      <c r="L19" s="43"/>
      <c r="M19" s="37">
        <f>SUM(C19:L19)</f>
        <v>4.3</v>
      </c>
      <c r="O19" s="5"/>
      <c r="Q19" s="11"/>
      <c r="S19" s="9"/>
    </row>
    <row r="20" spans="1:19" ht="14" x14ac:dyDescent="0.3">
      <c r="A20" s="34" t="s">
        <v>13</v>
      </c>
      <c r="B20" s="34"/>
      <c r="C20" s="43">
        <v>2.8</v>
      </c>
      <c r="D20" s="43">
        <v>1.4</v>
      </c>
      <c r="E20" s="43">
        <v>1.9</v>
      </c>
      <c r="F20" s="43"/>
      <c r="G20" s="43"/>
      <c r="H20" s="43"/>
      <c r="I20" s="43"/>
      <c r="J20" s="43"/>
      <c r="K20" s="43"/>
      <c r="L20" s="43"/>
      <c r="M20" s="37">
        <f>SUM(C20:L20)</f>
        <v>6.1</v>
      </c>
      <c r="O20" s="5"/>
      <c r="Q20" s="11"/>
      <c r="S20" s="9"/>
    </row>
    <row r="21" spans="1:19" ht="14" x14ac:dyDescent="0.3">
      <c r="A21" s="34" t="s">
        <v>12</v>
      </c>
      <c r="B21" s="34"/>
      <c r="C21" s="44">
        <v>215</v>
      </c>
      <c r="D21" s="44">
        <v>255</v>
      </c>
      <c r="E21" s="44">
        <v>215</v>
      </c>
      <c r="F21" s="44"/>
      <c r="G21" s="44"/>
      <c r="H21" s="44"/>
      <c r="I21" s="44"/>
      <c r="J21" s="44"/>
      <c r="K21" s="44"/>
      <c r="L21" s="44"/>
      <c r="M21" s="30"/>
      <c r="O21" s="5"/>
      <c r="Q21" s="11"/>
      <c r="S21" s="9"/>
    </row>
    <row r="22" spans="1:19" ht="14" x14ac:dyDescent="0.3">
      <c r="A22" s="34" t="s">
        <v>11</v>
      </c>
      <c r="B22" s="34"/>
      <c r="C22" s="29">
        <f>(C20-C19)*C21</f>
        <v>193.49999999999997</v>
      </c>
      <c r="D22" s="29">
        <f t="shared" ref="D22:G22" si="2">(D20-D19)*D21</f>
        <v>101.99999999999997</v>
      </c>
      <c r="E22" s="29">
        <f t="shared" si="2"/>
        <v>107.5</v>
      </c>
      <c r="F22" s="29">
        <f t="shared" si="2"/>
        <v>0</v>
      </c>
      <c r="G22" s="29">
        <f t="shared" si="2"/>
        <v>0</v>
      </c>
      <c r="H22" s="29"/>
      <c r="I22" s="29"/>
      <c r="J22" s="29"/>
      <c r="K22" s="29"/>
      <c r="L22" s="29"/>
      <c r="M22" s="48">
        <f>SUM(C22:L22)</f>
        <v>402.99999999999994</v>
      </c>
      <c r="O22" s="5"/>
      <c r="Q22" s="11"/>
      <c r="S22" s="9"/>
    </row>
    <row r="23" spans="1:19" ht="14" x14ac:dyDescent="0.3">
      <c r="A23" s="34"/>
      <c r="B23" s="34"/>
      <c r="C23" s="45"/>
      <c r="D23" s="45"/>
      <c r="E23" s="45"/>
      <c r="F23" s="45"/>
      <c r="G23" s="45"/>
      <c r="H23" s="45"/>
      <c r="I23" s="45"/>
      <c r="J23" s="45"/>
      <c r="K23" s="45"/>
      <c r="L23" s="45"/>
      <c r="M23" s="46"/>
      <c r="O23" s="5"/>
      <c r="Q23" s="11"/>
      <c r="S23" s="9"/>
    </row>
    <row r="24" spans="1:19" s="38" customFormat="1" ht="14" x14ac:dyDescent="0.3">
      <c r="A24" s="36" t="s">
        <v>26</v>
      </c>
      <c r="B24" s="36"/>
      <c r="C24" s="47">
        <f>C22*C15</f>
        <v>182.54716981132071</v>
      </c>
      <c r="D24" s="47">
        <f t="shared" ref="D24:G24" si="3">D22*D15</f>
        <v>90.779636881452433</v>
      </c>
      <c r="E24" s="47">
        <f t="shared" si="3"/>
        <v>90.259072925972418</v>
      </c>
      <c r="F24" s="47">
        <f t="shared" si="3"/>
        <v>0</v>
      </c>
      <c r="G24" s="47">
        <f t="shared" si="3"/>
        <v>0</v>
      </c>
      <c r="H24" s="47"/>
      <c r="I24" s="47"/>
      <c r="J24" s="47"/>
      <c r="K24" s="47"/>
      <c r="L24" s="47"/>
      <c r="M24" s="48">
        <f>SUM(C24:L24)</f>
        <v>363.58587961874559</v>
      </c>
      <c r="O24" s="39"/>
      <c r="Q24" s="40"/>
      <c r="S24" s="41"/>
    </row>
    <row r="25" spans="1:19" ht="14" x14ac:dyDescent="0.3">
      <c r="A25" s="1"/>
      <c r="B25" s="1"/>
      <c r="C25" s="28"/>
      <c r="D25" s="28"/>
      <c r="E25" s="28"/>
      <c r="F25" s="28"/>
      <c r="G25" s="28"/>
      <c r="H25" s="28"/>
      <c r="I25" s="28"/>
      <c r="J25" s="28"/>
      <c r="K25" s="28"/>
      <c r="L25" s="28"/>
      <c r="M25" s="30"/>
      <c r="O25" s="5"/>
      <c r="S25" s="9"/>
    </row>
    <row r="26" spans="1:19" ht="14" x14ac:dyDescent="0.3">
      <c r="A26" s="13" t="s">
        <v>8</v>
      </c>
      <c r="B26" s="13"/>
      <c r="C26" s="31"/>
      <c r="D26" s="31"/>
      <c r="E26" s="31"/>
      <c r="F26" s="31"/>
      <c r="G26" s="31"/>
      <c r="H26" s="31"/>
      <c r="I26" s="31"/>
      <c r="J26" s="31"/>
      <c r="K26" s="31"/>
      <c r="L26" s="31"/>
      <c r="M26" s="10"/>
      <c r="O26" s="5"/>
      <c r="R26" s="11"/>
    </row>
    <row r="27" spans="1:19" s="54" customFormat="1" ht="14" x14ac:dyDescent="0.3">
      <c r="A27" s="1" t="s">
        <v>7</v>
      </c>
      <c r="B27" s="32">
        <f>B22-B14</f>
        <v>-65</v>
      </c>
      <c r="C27" s="32">
        <f>C22-C14</f>
        <v>193.49999999999997</v>
      </c>
      <c r="D27" s="32">
        <f t="shared" ref="D27:G27" si="4">D22-D14</f>
        <v>74.999999999999972</v>
      </c>
      <c r="E27" s="32">
        <f t="shared" si="4"/>
        <v>95.5</v>
      </c>
      <c r="F27" s="32">
        <f t="shared" si="4"/>
        <v>0</v>
      </c>
      <c r="G27" s="32">
        <f t="shared" si="4"/>
        <v>0</v>
      </c>
      <c r="H27" s="32"/>
      <c r="I27" s="32"/>
      <c r="J27" s="32"/>
      <c r="K27" s="32"/>
      <c r="L27" s="32"/>
      <c r="M27" s="79">
        <f>SUM(B27:L27)</f>
        <v>298.99999999999994</v>
      </c>
      <c r="O27" s="55"/>
      <c r="R27" s="80"/>
    </row>
    <row r="28" spans="1:19" ht="14" x14ac:dyDescent="0.3">
      <c r="A28" s="2" t="s">
        <v>20</v>
      </c>
      <c r="B28" s="32">
        <f>B24-B16</f>
        <v>-65</v>
      </c>
      <c r="C28" s="32">
        <f>C24-C16</f>
        <v>182.54716981132071</v>
      </c>
      <c r="D28" s="32">
        <f t="shared" ref="D28:G28" si="5">D24-D16</f>
        <v>66.749733001067966</v>
      </c>
      <c r="E28" s="32">
        <f t="shared" si="5"/>
        <v>80.183641529584804</v>
      </c>
      <c r="F28" s="32">
        <f t="shared" si="5"/>
        <v>0</v>
      </c>
      <c r="G28" s="32">
        <f t="shared" si="5"/>
        <v>0</v>
      </c>
      <c r="H28" s="32"/>
      <c r="I28" s="32"/>
      <c r="J28" s="32"/>
      <c r="K28" s="32"/>
      <c r="L28" s="32"/>
      <c r="M28" s="58">
        <f>SUM(B28:L28)</f>
        <v>264.48054434197348</v>
      </c>
      <c r="O28" s="5"/>
      <c r="R28" s="11"/>
    </row>
    <row r="29" spans="1:19" ht="14" x14ac:dyDescent="0.3">
      <c r="A29" s="2" t="s">
        <v>19</v>
      </c>
      <c r="B29" s="32">
        <f>B28</f>
        <v>-65</v>
      </c>
      <c r="C29" s="32">
        <f>B28+C28</f>
        <v>117.54716981132071</v>
      </c>
      <c r="D29" s="32">
        <f>D28+C29</f>
        <v>184.29690281238868</v>
      </c>
      <c r="E29" s="32">
        <f t="shared" ref="E29:G29" si="6">E28+D29</f>
        <v>264.48054434197348</v>
      </c>
      <c r="F29" s="32">
        <f t="shared" si="6"/>
        <v>264.48054434197348</v>
      </c>
      <c r="G29" s="32">
        <f t="shared" si="6"/>
        <v>264.48054434197348</v>
      </c>
      <c r="H29" s="32"/>
      <c r="I29" s="32"/>
      <c r="J29" s="32"/>
      <c r="K29" s="32"/>
      <c r="L29" s="32"/>
      <c r="M29" s="58"/>
      <c r="O29" s="5"/>
      <c r="R29" s="11"/>
    </row>
    <row r="30" spans="1:19" s="54" customFormat="1" ht="14" x14ac:dyDescent="0.3">
      <c r="A30" s="1" t="s">
        <v>17</v>
      </c>
      <c r="B30" s="77">
        <f>(SUM(B22)-SUM(B14:B14))/SUM(B14:B14)</f>
        <v>-1</v>
      </c>
      <c r="C30" s="77">
        <f>(SUM($B$22:C22)-SUM($B$14:C14))/SUM($B$14:C14)</f>
        <v>1.9769230769230766</v>
      </c>
      <c r="D30" s="77">
        <f>(SUM($B$22:D22)-SUM($B$14:D14))/SUM($B$14:D14)</f>
        <v>2.2119565217391299</v>
      </c>
      <c r="E30" s="77">
        <f>(SUM($B$22:E22)-SUM($B$14:E14))/SUM($B$14:E14)</f>
        <v>2.8749999999999996</v>
      </c>
      <c r="F30" s="77">
        <f>(SUM($B$22:F22)-SUM($B$14:F14))/SUM($B$14:F14)</f>
        <v>2.8749999999999996</v>
      </c>
      <c r="G30" s="77">
        <f>(SUM($B$22:G22)-SUM($B$14:G14))/SUM($B$14:G14)</f>
        <v>2.8749999999999996</v>
      </c>
      <c r="H30" s="77"/>
      <c r="I30" s="77"/>
      <c r="J30" s="77"/>
      <c r="K30" s="77"/>
      <c r="L30" s="77"/>
      <c r="M30" s="78">
        <f>(M22-M14)/M14</f>
        <v>2.8749999999999996</v>
      </c>
    </row>
    <row r="31" spans="1:19" ht="14" x14ac:dyDescent="0.3">
      <c r="A31" s="2" t="s">
        <v>29</v>
      </c>
      <c r="B31" s="20">
        <f>(SUM(B23)-SUM(B15:B15))/SUM(B15:B15)</f>
        <v>-1</v>
      </c>
      <c r="C31" s="20">
        <f>(SUM($B$24:C24)-SUM($B$16:C16))/SUM($B$16:C16)</f>
        <v>1.8084179970972418</v>
      </c>
      <c r="D31" s="20">
        <f>(SUM($B$24:D24)-SUM($B$16:D16))/SUM($B$16:D16)</f>
        <v>2.0700561808984945</v>
      </c>
      <c r="E31" s="20">
        <f>(SUM($B$24:E24)-SUM($B$16:E16))/SUM($B$16:E16)</f>
        <v>2.6686811926255745</v>
      </c>
      <c r="F31" s="20">
        <f>(SUM($B$24:F24)-SUM($B$16:F16))/SUM($B$16:F16)</f>
        <v>2.6686811926255745</v>
      </c>
      <c r="G31" s="20">
        <f>(SUM($B$24:G24)-SUM($B$16:G16))/SUM($B$16:G16)</f>
        <v>2.6686811926255745</v>
      </c>
      <c r="H31" s="20"/>
      <c r="I31" s="20"/>
      <c r="J31" s="20"/>
      <c r="K31" s="20"/>
      <c r="L31" s="20"/>
      <c r="M31" s="59">
        <f>(M24-M16)/M16</f>
        <v>2.6686811926255745</v>
      </c>
    </row>
    <row r="32" spans="1:19" ht="14" x14ac:dyDescent="0.3">
      <c r="A32" s="2" t="s">
        <v>18</v>
      </c>
      <c r="B32" s="20"/>
      <c r="C32" s="20"/>
      <c r="D32" s="20"/>
      <c r="E32" s="20"/>
      <c r="F32" s="20"/>
      <c r="G32" s="20"/>
      <c r="H32" s="20"/>
      <c r="I32" s="20"/>
      <c r="J32" s="20"/>
      <c r="K32" s="20"/>
      <c r="L32" s="20"/>
      <c r="M32" s="19">
        <f>M24/M16</f>
        <v>3.6686811926255745</v>
      </c>
    </row>
    <row r="33" spans="1:15" s="71" customFormat="1" ht="13.9" customHeight="1" x14ac:dyDescent="0.3">
      <c r="A33" s="68" t="s">
        <v>4</v>
      </c>
      <c r="B33" s="68"/>
      <c r="C33" s="69"/>
      <c r="D33" s="69"/>
      <c r="E33" s="69"/>
      <c r="F33" s="69"/>
      <c r="G33" s="69"/>
      <c r="H33" s="69"/>
      <c r="I33" s="69"/>
      <c r="J33" s="69"/>
      <c r="K33" s="69"/>
      <c r="L33" s="69"/>
      <c r="M33" s="70">
        <f>M24-M16</f>
        <v>264.48054434197354</v>
      </c>
      <c r="O33" s="72"/>
    </row>
    <row r="34" spans="1:15" s="74" customFormat="1" ht="19.899999999999999" customHeight="1" x14ac:dyDescent="0.3">
      <c r="A34" s="73" t="s">
        <v>25</v>
      </c>
      <c r="M34" s="75">
        <f>MIRR(B27:L27,N4,N4)</f>
        <v>0.46652391286874706</v>
      </c>
    </row>
    <row r="36" spans="1:15" x14ac:dyDescent="0.25">
      <c r="A36" s="54" t="s">
        <v>23</v>
      </c>
    </row>
    <row r="37" spans="1:15" x14ac:dyDescent="0.25">
      <c r="A37" s="54" t="s">
        <v>46</v>
      </c>
    </row>
    <row r="39" spans="1:15" x14ac:dyDescent="0.25">
      <c r="B39" t="s">
        <v>31</v>
      </c>
      <c r="C39" t="s">
        <v>32</v>
      </c>
      <c r="D39" t="s">
        <v>33</v>
      </c>
      <c r="E39" t="s">
        <v>34</v>
      </c>
      <c r="F39" t="s">
        <v>35</v>
      </c>
      <c r="G39" t="s">
        <v>36</v>
      </c>
    </row>
    <row r="40" spans="1:15" x14ac:dyDescent="0.25">
      <c r="A40" t="s">
        <v>37</v>
      </c>
      <c r="B40" s="76">
        <f>B28</f>
        <v>-65</v>
      </c>
      <c r="C40" s="76">
        <f>C28+B40</f>
        <v>117.54716981132071</v>
      </c>
      <c r="D40" s="76">
        <f>D28+C40</f>
        <v>184.29690281238868</v>
      </c>
      <c r="E40" s="76">
        <f t="shared" ref="E40" si="7">E28+D40</f>
        <v>264.48054434197348</v>
      </c>
      <c r="F40" s="76"/>
      <c r="G40" s="76"/>
    </row>
  </sheetData>
  <mergeCells count="2">
    <mergeCell ref="A1:N1"/>
    <mergeCell ref="C6:L6"/>
  </mergeCell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44029-DDBB-4D67-8DCE-ADBDA55DF06C}">
  <dimension ref="A1:V40"/>
  <sheetViews>
    <sheetView topLeftCell="F1" workbookViewId="0">
      <selection activeCell="Q15" sqref="Q15"/>
    </sheetView>
  </sheetViews>
  <sheetFormatPr defaultRowHeight="12.5" x14ac:dyDescent="0.25"/>
  <cols>
    <col min="1" max="1" width="45.1796875" customWidth="1"/>
    <col min="2" max="2" width="15.7265625" customWidth="1"/>
    <col min="3" max="3" width="21.26953125" customWidth="1"/>
    <col min="4" max="10" width="13" customWidth="1"/>
    <col min="11" max="13" width="14.1796875" customWidth="1"/>
    <col min="14" max="14" width="13.81640625" customWidth="1"/>
    <col min="15" max="15" width="14.26953125" customWidth="1"/>
    <col min="16" max="16" width="3.26953125" customWidth="1"/>
    <col min="18" max="18" width="11.1796875" bestFit="1" customWidth="1"/>
    <col min="19" max="20" width="12.7265625" bestFit="1" customWidth="1"/>
  </cols>
  <sheetData>
    <row r="1" spans="1:22" ht="17.25" customHeight="1" x14ac:dyDescent="0.35">
      <c r="A1" s="84" t="s">
        <v>22</v>
      </c>
      <c r="B1" s="84"/>
      <c r="C1" s="85"/>
      <c r="D1" s="85"/>
      <c r="E1" s="85"/>
      <c r="F1" s="85"/>
      <c r="G1" s="85"/>
      <c r="H1" s="85"/>
      <c r="I1" s="85"/>
      <c r="J1" s="85"/>
      <c r="K1" s="85"/>
      <c r="L1" s="85"/>
      <c r="M1" s="86"/>
      <c r="N1" s="86"/>
      <c r="O1" s="5"/>
      <c r="P1" s="5"/>
      <c r="Q1" s="5"/>
      <c r="R1" s="5"/>
      <c r="S1" s="5"/>
      <c r="T1" s="5"/>
      <c r="U1" s="5"/>
      <c r="V1" s="5"/>
    </row>
    <row r="2" spans="1:22" ht="12.75" customHeight="1" x14ac:dyDescent="0.35">
      <c r="A2" s="3"/>
      <c r="B2" s="3"/>
      <c r="C2" s="4"/>
      <c r="D2" s="4"/>
      <c r="E2" s="4"/>
      <c r="F2" s="4"/>
      <c r="G2" s="4"/>
      <c r="H2" s="4"/>
      <c r="I2" s="4"/>
      <c r="J2" s="4"/>
      <c r="K2" s="4"/>
      <c r="L2" s="4"/>
      <c r="M2" s="4"/>
      <c r="N2" s="5"/>
      <c r="O2" s="5"/>
      <c r="P2" s="5"/>
      <c r="Q2" s="5"/>
      <c r="R2" s="5"/>
      <c r="S2" s="5"/>
      <c r="T2" s="5"/>
      <c r="U2" s="5"/>
      <c r="V2" s="5"/>
    </row>
    <row r="3" spans="1:22" x14ac:dyDescent="0.25">
      <c r="A3" s="5"/>
      <c r="B3" s="5"/>
      <c r="C3" s="5"/>
      <c r="D3" s="5"/>
      <c r="E3" s="55"/>
      <c r="F3" s="5"/>
      <c r="G3" s="5"/>
      <c r="H3" s="5"/>
      <c r="I3" s="5"/>
      <c r="J3" s="5"/>
      <c r="K3" s="5"/>
      <c r="L3" s="5"/>
      <c r="M3" s="5" t="s">
        <v>42</v>
      </c>
      <c r="N3" s="5">
        <v>30</v>
      </c>
      <c r="P3" s="5"/>
    </row>
    <row r="4" spans="1:22" ht="14" x14ac:dyDescent="0.3">
      <c r="A4" s="54" t="s">
        <v>62</v>
      </c>
      <c r="M4" s="14" t="s">
        <v>0</v>
      </c>
      <c r="N4" s="15">
        <v>0.06</v>
      </c>
      <c r="O4" s="7"/>
      <c r="P4" s="5"/>
    </row>
    <row r="5" spans="1:22" ht="10.5" customHeight="1" thickBot="1" x14ac:dyDescent="0.35">
      <c r="A5" s="8"/>
      <c r="B5" s="8"/>
      <c r="C5" s="6"/>
      <c r="D5" s="6"/>
      <c r="E5" s="6"/>
      <c r="F5" s="6"/>
      <c r="G5" s="6"/>
      <c r="H5" s="6"/>
      <c r="I5" s="6"/>
      <c r="J5" s="6"/>
      <c r="K5" s="6"/>
      <c r="L5" s="6"/>
      <c r="M5" s="6"/>
      <c r="N5" s="6"/>
      <c r="O5" s="6"/>
      <c r="P5" s="5"/>
    </row>
    <row r="6" spans="1:22" ht="14" x14ac:dyDescent="0.3">
      <c r="A6" s="16"/>
      <c r="B6" s="16"/>
      <c r="C6" s="82" t="s">
        <v>16</v>
      </c>
      <c r="D6" s="82"/>
      <c r="E6" s="82"/>
      <c r="F6" s="82"/>
      <c r="G6" s="82"/>
      <c r="H6" s="82"/>
      <c r="I6" s="82"/>
      <c r="J6" s="82"/>
      <c r="K6" s="82"/>
      <c r="L6" s="83"/>
      <c r="M6" s="18" t="s">
        <v>1</v>
      </c>
      <c r="O6" s="5"/>
    </row>
    <row r="7" spans="1:22" ht="14" x14ac:dyDescent="0.3">
      <c r="B7" s="62">
        <v>0</v>
      </c>
      <c r="C7" s="12">
        <v>1</v>
      </c>
      <c r="D7" s="12">
        <v>2</v>
      </c>
      <c r="E7" s="12">
        <v>3</v>
      </c>
      <c r="F7" s="12">
        <v>4</v>
      </c>
      <c r="G7" s="12">
        <v>5</v>
      </c>
      <c r="H7" s="12">
        <v>6</v>
      </c>
      <c r="I7" s="12">
        <v>7</v>
      </c>
      <c r="J7" s="12">
        <v>8</v>
      </c>
      <c r="K7" s="12">
        <v>9</v>
      </c>
      <c r="L7" s="12">
        <v>10</v>
      </c>
      <c r="M7" s="17" t="s">
        <v>2</v>
      </c>
      <c r="O7" s="5"/>
    </row>
    <row r="8" spans="1:22" ht="14" x14ac:dyDescent="0.3">
      <c r="A8" s="13" t="s">
        <v>27</v>
      </c>
      <c r="B8" s="13"/>
      <c r="C8" s="81" t="s">
        <v>39</v>
      </c>
      <c r="D8" s="81" t="s">
        <v>47</v>
      </c>
      <c r="E8" s="81" t="s">
        <v>39</v>
      </c>
      <c r="F8" s="1"/>
      <c r="G8" s="1"/>
      <c r="H8" s="1"/>
      <c r="I8" s="1"/>
      <c r="J8" s="1"/>
      <c r="K8" s="1"/>
      <c r="L8" s="1"/>
      <c r="O8" s="5"/>
    </row>
    <row r="9" spans="1:22" ht="14" x14ac:dyDescent="0.3">
      <c r="A9" s="34" t="s">
        <v>10</v>
      </c>
      <c r="B9" s="60">
        <v>65</v>
      </c>
      <c r="C9" s="21"/>
      <c r="D9" s="21"/>
      <c r="E9" s="21"/>
      <c r="F9" s="21"/>
      <c r="G9" s="21"/>
      <c r="H9" s="21"/>
      <c r="I9" s="21"/>
      <c r="J9" s="21"/>
      <c r="K9" s="21"/>
      <c r="L9" s="21"/>
      <c r="M9" s="26"/>
      <c r="O9" s="5"/>
      <c r="S9" s="9"/>
    </row>
    <row r="10" spans="1:22" ht="14" x14ac:dyDescent="0.3">
      <c r="A10" s="42" t="s">
        <v>21</v>
      </c>
      <c r="B10" s="61">
        <v>0</v>
      </c>
      <c r="C10" s="22"/>
      <c r="D10" s="22">
        <v>0</v>
      </c>
      <c r="E10" s="22"/>
      <c r="F10" s="22"/>
      <c r="G10" s="22"/>
      <c r="H10" s="22"/>
      <c r="I10" s="22"/>
      <c r="J10" s="22"/>
      <c r="K10" s="22"/>
      <c r="L10" s="22"/>
      <c r="M10" s="27"/>
      <c r="O10" s="5"/>
      <c r="Q10" s="11"/>
      <c r="S10" s="9"/>
    </row>
    <row r="11" spans="1:22" ht="14" x14ac:dyDescent="0.3">
      <c r="A11" s="42" t="s">
        <v>15</v>
      </c>
      <c r="B11" s="64"/>
      <c r="C11" s="25">
        <v>0</v>
      </c>
      <c r="D11" s="25">
        <v>0</v>
      </c>
      <c r="E11" s="25"/>
      <c r="F11" s="25"/>
      <c r="G11" s="25"/>
      <c r="H11" s="25"/>
      <c r="I11" s="25"/>
      <c r="J11" s="25"/>
      <c r="K11" s="25"/>
      <c r="L11" s="25"/>
      <c r="M11" s="27"/>
      <c r="O11" s="5"/>
      <c r="Q11" s="11"/>
      <c r="S11" s="9"/>
    </row>
    <row r="12" spans="1:22" ht="14" x14ac:dyDescent="0.3">
      <c r="A12" s="34" t="s">
        <v>41</v>
      </c>
      <c r="B12" s="60"/>
      <c r="C12" s="25"/>
      <c r="D12" s="25">
        <f>(C20-C19)*$N$3</f>
        <v>5.9999999999999982</v>
      </c>
      <c r="E12" s="25">
        <f>(D20-D19)*$N$3</f>
        <v>-3.0000000000000027</v>
      </c>
      <c r="F12" s="25"/>
      <c r="G12" s="25"/>
      <c r="H12" s="25"/>
      <c r="I12" s="25"/>
      <c r="J12" s="25"/>
      <c r="K12" s="25"/>
      <c r="L12" s="25"/>
      <c r="M12" s="27"/>
      <c r="O12" s="5"/>
      <c r="Q12" s="11"/>
      <c r="S12" s="9"/>
    </row>
    <row r="13" spans="1:22" ht="14" x14ac:dyDescent="0.3">
      <c r="A13" s="34" t="s">
        <v>9</v>
      </c>
      <c r="B13" s="60"/>
      <c r="C13" s="25"/>
      <c r="D13" s="25"/>
      <c r="E13" s="25"/>
      <c r="F13" s="25"/>
      <c r="G13" s="25"/>
      <c r="H13" s="25"/>
      <c r="I13" s="25"/>
      <c r="J13" s="25"/>
      <c r="K13" s="25"/>
      <c r="L13" s="25"/>
      <c r="M13" s="27"/>
      <c r="O13" s="5"/>
      <c r="Q13" s="11"/>
      <c r="S13" s="9"/>
    </row>
    <row r="14" spans="1:22" ht="14" x14ac:dyDescent="0.3">
      <c r="A14" s="36" t="s">
        <v>3</v>
      </c>
      <c r="B14" s="66">
        <f>SUM(B9:B13)</f>
        <v>65</v>
      </c>
      <c r="C14" s="23">
        <f>SUM(C9:C13)</f>
        <v>0</v>
      </c>
      <c r="D14" s="23">
        <f t="shared" ref="D14:G14" si="0">SUM(D9:D13)</f>
        <v>5.9999999999999982</v>
      </c>
      <c r="E14" s="23">
        <f>SUM(E9:E13)</f>
        <v>-3.0000000000000027</v>
      </c>
      <c r="F14" s="23">
        <f t="shared" si="0"/>
        <v>0</v>
      </c>
      <c r="G14" s="23">
        <f t="shared" si="0"/>
        <v>0</v>
      </c>
      <c r="H14" s="23"/>
      <c r="I14" s="23"/>
      <c r="J14" s="23"/>
      <c r="K14" s="23"/>
      <c r="L14" s="23"/>
      <c r="M14" s="57">
        <f>SUM(B14:L14)</f>
        <v>68</v>
      </c>
      <c r="O14" s="5"/>
      <c r="Q14" s="11"/>
      <c r="S14" s="9"/>
    </row>
    <row r="15" spans="1:22" ht="14" x14ac:dyDescent="0.3">
      <c r="A15" s="34" t="s">
        <v>5</v>
      </c>
      <c r="B15" s="65">
        <v>1</v>
      </c>
      <c r="C15" s="24">
        <f>1/(1+$N$4)^C7</f>
        <v>0.94339622641509424</v>
      </c>
      <c r="D15" s="24">
        <f>1/(1+$N$4)^D7</f>
        <v>0.88999644001423983</v>
      </c>
      <c r="E15" s="24">
        <f>1/(1+$N$4)^E7</f>
        <v>0.8396192830323016</v>
      </c>
      <c r="F15" s="24"/>
      <c r="G15" s="24"/>
      <c r="H15" s="24"/>
      <c r="I15" s="24"/>
      <c r="J15" s="24"/>
      <c r="K15" s="24"/>
      <c r="L15" s="24"/>
      <c r="M15" s="57"/>
      <c r="O15" s="5"/>
      <c r="Q15" s="11"/>
      <c r="S15" s="9"/>
    </row>
    <row r="16" spans="1:22" s="38" customFormat="1" ht="14" x14ac:dyDescent="0.3">
      <c r="A16" s="36" t="s">
        <v>6</v>
      </c>
      <c r="B16" s="63">
        <f>B14*B15</f>
        <v>65</v>
      </c>
      <c r="C16" s="56">
        <f>C14*C15</f>
        <v>0</v>
      </c>
      <c r="D16" s="56">
        <f t="shared" ref="D16:G16" si="1">D14*D15</f>
        <v>5.3399786400854374</v>
      </c>
      <c r="E16" s="56">
        <f t="shared" si="1"/>
        <v>-2.5188578490969071</v>
      </c>
      <c r="F16" s="56">
        <f t="shared" si="1"/>
        <v>0</v>
      </c>
      <c r="G16" s="56">
        <f t="shared" si="1"/>
        <v>0</v>
      </c>
      <c r="H16" s="56"/>
      <c r="I16" s="56"/>
      <c r="J16" s="56"/>
      <c r="K16" s="56"/>
      <c r="L16" s="56"/>
      <c r="M16" s="57">
        <f>SUM(B16:L16)</f>
        <v>67.82112079098853</v>
      </c>
      <c r="O16" s="39"/>
      <c r="Q16" s="40"/>
      <c r="S16" s="41"/>
    </row>
    <row r="17" spans="1:19" ht="14" x14ac:dyDescent="0.3">
      <c r="A17" s="34"/>
      <c r="B17" s="34"/>
      <c r="C17" s="28"/>
      <c r="D17" s="28"/>
      <c r="E17" s="28"/>
      <c r="F17" s="28"/>
      <c r="G17" s="28"/>
      <c r="H17" s="28"/>
      <c r="I17" s="28"/>
      <c r="J17" s="28"/>
      <c r="K17" s="28"/>
      <c r="L17" s="28"/>
      <c r="M17" s="26"/>
      <c r="O17" s="5"/>
      <c r="Q17" s="11"/>
      <c r="S17" s="9"/>
    </row>
    <row r="18" spans="1:19" ht="14" x14ac:dyDescent="0.3">
      <c r="A18" s="35" t="s">
        <v>28</v>
      </c>
      <c r="B18" s="35"/>
      <c r="C18" s="29"/>
      <c r="D18" s="29"/>
      <c r="E18" s="29"/>
      <c r="F18" s="29"/>
      <c r="G18" s="29"/>
      <c r="H18" s="29"/>
      <c r="I18" s="29"/>
      <c r="J18" s="29"/>
      <c r="K18" s="29"/>
      <c r="L18" s="29"/>
      <c r="M18" s="30"/>
      <c r="O18" s="5"/>
      <c r="Q18" s="11"/>
      <c r="S18" s="9"/>
    </row>
    <row r="19" spans="1:19" ht="14" x14ac:dyDescent="0.3">
      <c r="A19" s="34" t="s">
        <v>14</v>
      </c>
      <c r="B19" s="34"/>
      <c r="C19" s="43">
        <v>1.3</v>
      </c>
      <c r="D19" s="43">
        <v>0.8</v>
      </c>
      <c r="E19" s="43">
        <v>2.1</v>
      </c>
      <c r="F19" s="43"/>
      <c r="G19" s="43"/>
      <c r="H19" s="43"/>
      <c r="I19" s="43"/>
      <c r="J19" s="43"/>
      <c r="K19" s="43"/>
      <c r="L19" s="43"/>
      <c r="M19" s="37">
        <f>SUM(C19:L19)</f>
        <v>4.2</v>
      </c>
      <c r="O19" s="5"/>
      <c r="Q19" s="11"/>
      <c r="S19" s="9"/>
    </row>
    <row r="20" spans="1:19" ht="14" x14ac:dyDescent="0.3">
      <c r="A20" s="34" t="s">
        <v>13</v>
      </c>
      <c r="B20" s="34"/>
      <c r="C20" s="43">
        <v>1.5</v>
      </c>
      <c r="D20" s="43">
        <v>0.7</v>
      </c>
      <c r="E20" s="43">
        <v>2.1</v>
      </c>
      <c r="F20" s="43"/>
      <c r="G20" s="43"/>
      <c r="H20" s="43"/>
      <c r="I20" s="43"/>
      <c r="J20" s="43"/>
      <c r="K20" s="43"/>
      <c r="L20" s="43"/>
      <c r="M20" s="37">
        <f>SUM(C20:L20)</f>
        <v>4.3000000000000007</v>
      </c>
      <c r="O20" s="5"/>
      <c r="Q20" s="11"/>
      <c r="S20" s="9"/>
    </row>
    <row r="21" spans="1:19" ht="14" x14ac:dyDescent="0.3">
      <c r="A21" s="34" t="s">
        <v>12</v>
      </c>
      <c r="B21" s="34"/>
      <c r="C21" s="44">
        <v>255</v>
      </c>
      <c r="D21" s="44">
        <v>353</v>
      </c>
      <c r="E21" s="44">
        <v>255</v>
      </c>
      <c r="F21" s="44"/>
      <c r="G21" s="44"/>
      <c r="H21" s="44"/>
      <c r="I21" s="44"/>
      <c r="J21" s="44"/>
      <c r="K21" s="44"/>
      <c r="L21" s="44"/>
      <c r="M21" s="30"/>
      <c r="O21" s="5"/>
      <c r="Q21" s="11"/>
      <c r="S21" s="9"/>
    </row>
    <row r="22" spans="1:19" ht="14" x14ac:dyDescent="0.3">
      <c r="A22" s="34" t="s">
        <v>11</v>
      </c>
      <c r="B22" s="34"/>
      <c r="C22" s="29">
        <f>(C20-C19)*C21</f>
        <v>50.999999999999986</v>
      </c>
      <c r="D22" s="29">
        <f t="shared" ref="D22:G22" si="2">(D20-D19)*D21</f>
        <v>-35.300000000000033</v>
      </c>
      <c r="E22" s="29">
        <f t="shared" si="2"/>
        <v>0</v>
      </c>
      <c r="F22" s="29">
        <f t="shared" si="2"/>
        <v>0</v>
      </c>
      <c r="G22" s="29">
        <f t="shared" si="2"/>
        <v>0</v>
      </c>
      <c r="H22" s="29"/>
      <c r="I22" s="29"/>
      <c r="J22" s="29"/>
      <c r="K22" s="29"/>
      <c r="L22" s="29"/>
      <c r="M22" s="48">
        <f>SUM(C22:L22)</f>
        <v>15.699999999999953</v>
      </c>
      <c r="O22" s="5"/>
      <c r="Q22" s="11"/>
      <c r="S22" s="9"/>
    </row>
    <row r="23" spans="1:19" ht="14" x14ac:dyDescent="0.3">
      <c r="A23" s="34"/>
      <c r="B23" s="34"/>
      <c r="C23" s="45"/>
      <c r="D23" s="45"/>
      <c r="E23" s="45"/>
      <c r="F23" s="45"/>
      <c r="G23" s="45"/>
      <c r="H23" s="45"/>
      <c r="I23" s="45"/>
      <c r="J23" s="45"/>
      <c r="K23" s="45"/>
      <c r="L23" s="45"/>
      <c r="M23" s="46"/>
      <c r="O23" s="5"/>
      <c r="Q23" s="11"/>
      <c r="S23" s="9"/>
    </row>
    <row r="24" spans="1:19" s="38" customFormat="1" ht="14" x14ac:dyDescent="0.3">
      <c r="A24" s="36" t="s">
        <v>26</v>
      </c>
      <c r="B24" s="36"/>
      <c r="C24" s="47">
        <f>C22*C15</f>
        <v>48.113207547169793</v>
      </c>
      <c r="D24" s="47">
        <f t="shared" ref="D24:G24" si="3">D22*D15</f>
        <v>-31.416874332502694</v>
      </c>
      <c r="E24" s="47">
        <f t="shared" si="3"/>
        <v>0</v>
      </c>
      <c r="F24" s="47">
        <f t="shared" si="3"/>
        <v>0</v>
      </c>
      <c r="G24" s="47">
        <f t="shared" si="3"/>
        <v>0</v>
      </c>
      <c r="H24" s="47"/>
      <c r="I24" s="47"/>
      <c r="J24" s="47"/>
      <c r="K24" s="47"/>
      <c r="L24" s="47"/>
      <c r="M24" s="48">
        <f>SUM(C24:L24)</f>
        <v>16.696333214667099</v>
      </c>
      <c r="O24" s="39"/>
      <c r="Q24" s="40"/>
      <c r="S24" s="41"/>
    </row>
    <row r="25" spans="1:19" ht="14" x14ac:dyDescent="0.3">
      <c r="A25" s="1"/>
      <c r="B25" s="1"/>
      <c r="C25" s="28"/>
      <c r="D25" s="28"/>
      <c r="E25" s="28"/>
      <c r="F25" s="28"/>
      <c r="G25" s="28"/>
      <c r="H25" s="28"/>
      <c r="I25" s="28"/>
      <c r="J25" s="28"/>
      <c r="K25" s="28"/>
      <c r="L25" s="28"/>
      <c r="M25" s="30"/>
      <c r="O25" s="5"/>
      <c r="S25" s="9"/>
    </row>
    <row r="26" spans="1:19" ht="14" x14ac:dyDescent="0.3">
      <c r="A26" s="13" t="s">
        <v>8</v>
      </c>
      <c r="B26" s="13"/>
      <c r="C26" s="31"/>
      <c r="D26" s="31"/>
      <c r="E26" s="31"/>
      <c r="F26" s="31"/>
      <c r="G26" s="31"/>
      <c r="H26" s="31"/>
      <c r="I26" s="31"/>
      <c r="J26" s="31"/>
      <c r="K26" s="31"/>
      <c r="L26" s="31"/>
      <c r="M26" s="10"/>
      <c r="O26" s="5"/>
      <c r="R26" s="11"/>
    </row>
    <row r="27" spans="1:19" s="54" customFormat="1" ht="14" x14ac:dyDescent="0.3">
      <c r="A27" s="1" t="s">
        <v>7</v>
      </c>
      <c r="B27" s="32">
        <f>B22-B14</f>
        <v>-65</v>
      </c>
      <c r="C27" s="32">
        <f>C22-C14</f>
        <v>50.999999999999986</v>
      </c>
      <c r="D27" s="32">
        <f t="shared" ref="D27:G27" si="4">D22-D14</f>
        <v>-41.300000000000033</v>
      </c>
      <c r="E27" s="32">
        <f t="shared" si="4"/>
        <v>3.0000000000000027</v>
      </c>
      <c r="F27" s="32">
        <f t="shared" si="4"/>
        <v>0</v>
      </c>
      <c r="G27" s="32">
        <f t="shared" si="4"/>
        <v>0</v>
      </c>
      <c r="H27" s="32"/>
      <c r="I27" s="32"/>
      <c r="J27" s="32"/>
      <c r="K27" s="32"/>
      <c r="L27" s="32"/>
      <c r="M27" s="79">
        <f>SUM(B27:L27)</f>
        <v>-52.300000000000047</v>
      </c>
      <c r="O27" s="55"/>
      <c r="R27" s="80"/>
    </row>
    <row r="28" spans="1:19" ht="14" x14ac:dyDescent="0.3">
      <c r="A28" s="2" t="s">
        <v>20</v>
      </c>
      <c r="B28" s="32">
        <f>B24-B16</f>
        <v>-65</v>
      </c>
      <c r="C28" s="32">
        <f>C24-C16</f>
        <v>48.113207547169793</v>
      </c>
      <c r="D28" s="32">
        <f t="shared" ref="D28:G28" si="5">D24-D16</f>
        <v>-36.756852972588135</v>
      </c>
      <c r="E28" s="32">
        <f t="shared" si="5"/>
        <v>2.5188578490969071</v>
      </c>
      <c r="F28" s="32">
        <f t="shared" si="5"/>
        <v>0</v>
      </c>
      <c r="G28" s="32">
        <f t="shared" si="5"/>
        <v>0</v>
      </c>
      <c r="H28" s="32"/>
      <c r="I28" s="32"/>
      <c r="J28" s="32"/>
      <c r="K28" s="32"/>
      <c r="L28" s="32"/>
      <c r="M28" s="58">
        <f>SUM(B28:L28)</f>
        <v>-51.124787576321438</v>
      </c>
      <c r="O28" s="5"/>
      <c r="R28" s="11"/>
    </row>
    <row r="29" spans="1:19" ht="14" x14ac:dyDescent="0.3">
      <c r="A29" s="2" t="s">
        <v>19</v>
      </c>
      <c r="B29" s="32">
        <f>B28</f>
        <v>-65</v>
      </c>
      <c r="C29" s="32">
        <f>B28+C28</f>
        <v>-16.886792452830207</v>
      </c>
      <c r="D29" s="32">
        <f>D28+C29</f>
        <v>-53.643645425418342</v>
      </c>
      <c r="E29" s="32">
        <f t="shared" ref="E29:G29" si="6">E28+D29</f>
        <v>-51.124787576321438</v>
      </c>
      <c r="F29" s="32">
        <f t="shared" si="6"/>
        <v>-51.124787576321438</v>
      </c>
      <c r="G29" s="32">
        <f t="shared" si="6"/>
        <v>-51.124787576321438</v>
      </c>
      <c r="H29" s="32"/>
      <c r="I29" s="32"/>
      <c r="J29" s="32"/>
      <c r="K29" s="32"/>
      <c r="L29" s="32"/>
      <c r="M29" s="58"/>
      <c r="O29" s="5"/>
      <c r="R29" s="11"/>
    </row>
    <row r="30" spans="1:19" s="54" customFormat="1" ht="14" x14ac:dyDescent="0.3">
      <c r="A30" s="1" t="s">
        <v>17</v>
      </c>
      <c r="B30" s="77">
        <f>(SUM(B22)-SUM(B14:B14))/SUM(B14:B14)</f>
        <v>-1</v>
      </c>
      <c r="C30" s="77">
        <f>(SUM($B$22:C22)-SUM($B$14:C14))/SUM($B$14:C14)</f>
        <v>-0.21538461538461559</v>
      </c>
      <c r="D30" s="77">
        <f>(SUM($B$22:D22)-SUM($B$14:D14))/SUM($B$14:D14)</f>
        <v>-0.77887323943662035</v>
      </c>
      <c r="E30" s="77">
        <f>(SUM($B$22:E22)-SUM($B$14:E14))/SUM($B$14:E14)</f>
        <v>-0.76911764705882424</v>
      </c>
      <c r="F30" s="77">
        <f>(SUM($B$22:F22)-SUM($B$14:F14))/SUM($B$14:F14)</f>
        <v>-0.76911764705882424</v>
      </c>
      <c r="G30" s="77">
        <f>(SUM($B$22:G22)-SUM($B$14:G14))/SUM($B$14:G14)</f>
        <v>-0.76911764705882424</v>
      </c>
      <c r="H30" s="77"/>
      <c r="I30" s="77"/>
      <c r="J30" s="77"/>
      <c r="K30" s="77"/>
      <c r="L30" s="77"/>
      <c r="M30" s="78">
        <f>(M22-M14)/M14</f>
        <v>-0.76911764705882424</v>
      </c>
    </row>
    <row r="31" spans="1:19" ht="14" x14ac:dyDescent="0.3">
      <c r="A31" s="2" t="s">
        <v>29</v>
      </c>
      <c r="B31" s="20">
        <f>(SUM(B23)-SUM(B15:B15))/SUM(B15:B15)</f>
        <v>-1</v>
      </c>
      <c r="C31" s="20">
        <f>(SUM($B$24:C24)-SUM($B$16:C16))/SUM($B$16:C16)</f>
        <v>-0.25979680696661855</v>
      </c>
      <c r="D31" s="20">
        <f>(SUM($B$24:D24)-SUM($B$16:D16))/SUM($B$16:D16)</f>
        <v>-0.76263380317331841</v>
      </c>
      <c r="E31" s="20">
        <f>(SUM($B$24:E24)-SUM($B$16:E16))/SUM($B$16:E16)</f>
        <v>-0.75381808764084068</v>
      </c>
      <c r="F31" s="20">
        <f>(SUM($B$24:F24)-SUM($B$16:F16))/SUM($B$16:F16)</f>
        <v>-0.75381808764084068</v>
      </c>
      <c r="G31" s="20">
        <f>(SUM($B$24:G24)-SUM($B$16:G16))/SUM($B$16:G16)</f>
        <v>-0.75381808764084068</v>
      </c>
      <c r="H31" s="20"/>
      <c r="I31" s="20"/>
      <c r="J31" s="20"/>
      <c r="K31" s="20"/>
      <c r="L31" s="20"/>
      <c r="M31" s="59">
        <f>(M24-M16)/M16</f>
        <v>-0.75381808764084068</v>
      </c>
    </row>
    <row r="32" spans="1:19" ht="14" x14ac:dyDescent="0.3">
      <c r="A32" s="2" t="s">
        <v>18</v>
      </c>
      <c r="B32" s="20"/>
      <c r="C32" s="20"/>
      <c r="D32" s="20"/>
      <c r="E32" s="20"/>
      <c r="F32" s="20"/>
      <c r="G32" s="20"/>
      <c r="H32" s="20"/>
      <c r="I32" s="20"/>
      <c r="J32" s="20"/>
      <c r="K32" s="20"/>
      <c r="L32" s="20"/>
      <c r="M32" s="19">
        <f>M24/M16</f>
        <v>0.24618191235915937</v>
      </c>
    </row>
    <row r="33" spans="1:15" s="71" customFormat="1" ht="13.9" customHeight="1" x14ac:dyDescent="0.3">
      <c r="A33" s="68" t="s">
        <v>4</v>
      </c>
      <c r="B33" s="68"/>
      <c r="C33" s="69"/>
      <c r="D33" s="69"/>
      <c r="E33" s="69"/>
      <c r="F33" s="69"/>
      <c r="G33" s="69"/>
      <c r="H33" s="69"/>
      <c r="I33" s="69"/>
      <c r="J33" s="69"/>
      <c r="K33" s="69"/>
      <c r="L33" s="69"/>
      <c r="M33" s="70">
        <f>M24-M16</f>
        <v>-51.124787576321431</v>
      </c>
      <c r="O33" s="72"/>
    </row>
    <row r="34" spans="1:15" s="74" customFormat="1" ht="19.899999999999999" customHeight="1" x14ac:dyDescent="0.3">
      <c r="A34" s="73" t="s">
        <v>25</v>
      </c>
      <c r="M34" s="75">
        <f>MIRR(B27:L27,N4,N4)</f>
        <v>-7.8111790575191575E-2</v>
      </c>
    </row>
    <row r="36" spans="1:15" x14ac:dyDescent="0.25">
      <c r="A36" s="54" t="s">
        <v>23</v>
      </c>
    </row>
    <row r="37" spans="1:15" x14ac:dyDescent="0.25">
      <c r="A37" s="54" t="s">
        <v>46</v>
      </c>
    </row>
    <row r="39" spans="1:15" x14ac:dyDescent="0.25">
      <c r="B39" t="s">
        <v>31</v>
      </c>
      <c r="C39" t="s">
        <v>32</v>
      </c>
      <c r="D39" t="s">
        <v>33</v>
      </c>
      <c r="E39" t="s">
        <v>34</v>
      </c>
      <c r="F39" t="s">
        <v>35</v>
      </c>
      <c r="G39" t="s">
        <v>36</v>
      </c>
    </row>
    <row r="40" spans="1:15" x14ac:dyDescent="0.25">
      <c r="A40" t="s">
        <v>37</v>
      </c>
      <c r="B40" s="76">
        <f>B28</f>
        <v>-65</v>
      </c>
      <c r="C40" s="76">
        <f>C28+B40</f>
        <v>-16.886792452830207</v>
      </c>
      <c r="D40" s="76">
        <f>D28+C40</f>
        <v>-53.643645425418342</v>
      </c>
      <c r="E40" s="76">
        <f t="shared" ref="E40" si="7">E28+D40</f>
        <v>-51.124787576321438</v>
      </c>
      <c r="F40" s="76"/>
      <c r="G40" s="76"/>
    </row>
  </sheetData>
  <mergeCells count="2">
    <mergeCell ref="A1:N1"/>
    <mergeCell ref="C6:L6"/>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EC11F-A8FE-40DD-A2E6-E0C53CB87D89}">
  <dimension ref="A1"/>
  <sheetViews>
    <sheetView workbookViewId="0"/>
  </sheetViews>
  <sheetFormatPr defaultRowHeight="12.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D85BD-ACF5-4F0B-80D1-FA8D213B666C}">
  <dimension ref="A1"/>
  <sheetViews>
    <sheetView workbookViewId="0"/>
  </sheetViews>
  <sheetFormatPr defaultRowHeight="12.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V40"/>
  <sheetViews>
    <sheetView topLeftCell="B19" workbookViewId="0">
      <selection activeCell="B1" sqref="A1:XFD1048576"/>
    </sheetView>
  </sheetViews>
  <sheetFormatPr defaultRowHeight="12.5" x14ac:dyDescent="0.25"/>
  <cols>
    <col min="1" max="1" width="45.1796875" customWidth="1"/>
    <col min="2" max="2" width="15.7265625" customWidth="1"/>
    <col min="3" max="3" width="21.26953125" customWidth="1"/>
    <col min="4" max="10" width="13" customWidth="1"/>
    <col min="11" max="13" width="14.1796875" customWidth="1"/>
    <col min="14" max="14" width="13.81640625" customWidth="1"/>
    <col min="15" max="15" width="14.26953125" customWidth="1"/>
    <col min="16" max="16" width="3.26953125" customWidth="1"/>
    <col min="18" max="18" width="11.1796875" bestFit="1" customWidth="1"/>
    <col min="19" max="20" width="12.7265625" bestFit="1" customWidth="1"/>
  </cols>
  <sheetData>
    <row r="1" spans="1:22" ht="17.25" customHeight="1" x14ac:dyDescent="0.35">
      <c r="A1" s="84" t="s">
        <v>22</v>
      </c>
      <c r="B1" s="84"/>
      <c r="C1" s="85"/>
      <c r="D1" s="85"/>
      <c r="E1" s="85"/>
      <c r="F1" s="85"/>
      <c r="G1" s="85"/>
      <c r="H1" s="85"/>
      <c r="I1" s="85"/>
      <c r="J1" s="85"/>
      <c r="K1" s="85"/>
      <c r="L1" s="85"/>
      <c r="M1" s="86"/>
      <c r="N1" s="86"/>
      <c r="O1" s="5"/>
      <c r="P1" s="5"/>
      <c r="Q1" s="5"/>
      <c r="R1" s="5"/>
      <c r="S1" s="5"/>
      <c r="T1" s="5"/>
      <c r="U1" s="5"/>
      <c r="V1" s="5"/>
    </row>
    <row r="2" spans="1:22" ht="12.75" customHeight="1" x14ac:dyDescent="0.35">
      <c r="A2" s="3"/>
      <c r="B2" s="3"/>
      <c r="C2" s="4"/>
      <c r="D2" s="4"/>
      <c r="E2" s="4"/>
      <c r="F2" s="4"/>
      <c r="G2" s="4"/>
      <c r="H2" s="4"/>
      <c r="I2" s="4"/>
      <c r="J2" s="4"/>
      <c r="K2" s="4"/>
      <c r="L2" s="4"/>
      <c r="M2" s="4"/>
      <c r="N2" s="5"/>
      <c r="O2" s="5"/>
      <c r="P2" s="5"/>
      <c r="Q2" s="5"/>
      <c r="R2" s="5"/>
      <c r="S2" s="5"/>
      <c r="T2" s="5"/>
      <c r="U2" s="5"/>
      <c r="V2" s="5"/>
    </row>
    <row r="3" spans="1:22" x14ac:dyDescent="0.25">
      <c r="A3" s="5"/>
      <c r="B3" s="5"/>
      <c r="C3" s="5"/>
      <c r="D3" s="5"/>
      <c r="E3" s="55"/>
      <c r="F3" s="5"/>
      <c r="G3" s="5"/>
      <c r="H3" s="5"/>
      <c r="I3" s="5"/>
      <c r="J3" s="5"/>
      <c r="K3" s="5"/>
      <c r="L3" s="5"/>
      <c r="M3" s="5" t="s">
        <v>42</v>
      </c>
      <c r="N3" s="5">
        <v>30</v>
      </c>
      <c r="P3" s="5"/>
    </row>
    <row r="4" spans="1:22" ht="14" x14ac:dyDescent="0.3">
      <c r="A4" s="54" t="s">
        <v>49</v>
      </c>
      <c r="M4" s="14" t="s">
        <v>0</v>
      </c>
      <c r="N4" s="15">
        <v>0.06</v>
      </c>
      <c r="O4" s="7"/>
      <c r="P4" s="5"/>
    </row>
    <row r="5" spans="1:22" ht="10.5" customHeight="1" thickBot="1" x14ac:dyDescent="0.35">
      <c r="A5" s="8"/>
      <c r="B5" s="8"/>
      <c r="C5" s="6"/>
      <c r="D5" s="6"/>
      <c r="E5" s="6"/>
      <c r="F5" s="6"/>
      <c r="G5" s="6"/>
      <c r="H5" s="6"/>
      <c r="I5" s="6"/>
      <c r="J5" s="6"/>
      <c r="K5" s="6"/>
      <c r="L5" s="6"/>
      <c r="M5" s="6"/>
      <c r="N5" s="6"/>
      <c r="O5" s="6"/>
      <c r="P5" s="5"/>
    </row>
    <row r="6" spans="1:22" ht="14" x14ac:dyDescent="0.3">
      <c r="A6" s="16"/>
      <c r="B6" s="16"/>
      <c r="C6" s="82" t="s">
        <v>16</v>
      </c>
      <c r="D6" s="82"/>
      <c r="E6" s="82"/>
      <c r="F6" s="82"/>
      <c r="G6" s="82"/>
      <c r="H6" s="82"/>
      <c r="I6" s="82"/>
      <c r="J6" s="82"/>
      <c r="K6" s="82"/>
      <c r="L6" s="83"/>
      <c r="M6" s="18" t="s">
        <v>1</v>
      </c>
      <c r="O6" s="5"/>
    </row>
    <row r="7" spans="1:22" ht="14" x14ac:dyDescent="0.3">
      <c r="B7" s="62">
        <v>0</v>
      </c>
      <c r="C7" s="12">
        <v>1</v>
      </c>
      <c r="D7" s="12">
        <v>2</v>
      </c>
      <c r="E7" s="12">
        <v>3</v>
      </c>
      <c r="F7" s="12">
        <v>4</v>
      </c>
      <c r="G7" s="12">
        <v>5</v>
      </c>
      <c r="H7" s="12">
        <v>6</v>
      </c>
      <c r="I7" s="12">
        <v>7</v>
      </c>
      <c r="J7" s="12">
        <v>8</v>
      </c>
      <c r="K7" s="12">
        <v>9</v>
      </c>
      <c r="L7" s="12">
        <v>10</v>
      </c>
      <c r="M7" s="17" t="s">
        <v>2</v>
      </c>
      <c r="O7" s="5"/>
    </row>
    <row r="8" spans="1:22" ht="14" x14ac:dyDescent="0.3">
      <c r="A8" s="13" t="s">
        <v>27</v>
      </c>
      <c r="B8" s="13"/>
      <c r="C8" s="81" t="s">
        <v>39</v>
      </c>
      <c r="D8" s="81" t="s">
        <v>38</v>
      </c>
      <c r="E8" s="81" t="s">
        <v>48</v>
      </c>
      <c r="F8" s="1"/>
      <c r="G8" s="1"/>
      <c r="H8" s="1"/>
      <c r="I8" s="1"/>
      <c r="J8" s="1"/>
      <c r="K8" s="1"/>
      <c r="L8" s="1"/>
      <c r="O8" s="5"/>
    </row>
    <row r="9" spans="1:22" ht="14" x14ac:dyDescent="0.3">
      <c r="A9" s="34" t="s">
        <v>10</v>
      </c>
      <c r="B9" s="60">
        <v>85</v>
      </c>
      <c r="C9" s="21"/>
      <c r="D9" s="21"/>
      <c r="E9" s="21"/>
      <c r="F9" s="21"/>
      <c r="G9" s="21"/>
      <c r="H9" s="21"/>
      <c r="I9" s="21"/>
      <c r="J9" s="21"/>
      <c r="K9" s="21"/>
      <c r="L9" s="21"/>
      <c r="M9" s="26"/>
      <c r="O9" s="5"/>
      <c r="S9" s="9"/>
    </row>
    <row r="10" spans="1:22" ht="14" x14ac:dyDescent="0.3">
      <c r="A10" s="42" t="s">
        <v>21</v>
      </c>
      <c r="B10" s="61">
        <v>0</v>
      </c>
      <c r="C10" s="22"/>
      <c r="D10" s="22">
        <v>0</v>
      </c>
      <c r="E10" s="22"/>
      <c r="F10" s="22"/>
      <c r="G10" s="22"/>
      <c r="H10" s="22"/>
      <c r="I10" s="22"/>
      <c r="J10" s="22"/>
      <c r="K10" s="22"/>
      <c r="L10" s="22"/>
      <c r="M10" s="27"/>
      <c r="O10" s="5"/>
      <c r="Q10" s="11"/>
      <c r="S10" s="9"/>
    </row>
    <row r="11" spans="1:22" ht="14" x14ac:dyDescent="0.3">
      <c r="A11" s="42" t="s">
        <v>15</v>
      </c>
      <c r="B11" s="64"/>
      <c r="C11" s="25">
        <v>0</v>
      </c>
      <c r="D11" s="25">
        <v>0</v>
      </c>
      <c r="E11" s="25"/>
      <c r="F11" s="25"/>
      <c r="G11" s="25"/>
      <c r="H11" s="25"/>
      <c r="I11" s="25"/>
      <c r="J11" s="25"/>
      <c r="K11" s="25"/>
      <c r="L11" s="25"/>
      <c r="M11" s="27"/>
      <c r="O11" s="5"/>
      <c r="Q11" s="11"/>
      <c r="S11" s="9"/>
    </row>
    <row r="12" spans="1:22" ht="14" x14ac:dyDescent="0.3">
      <c r="A12" s="34" t="s">
        <v>50</v>
      </c>
      <c r="B12" s="60"/>
      <c r="C12" s="25"/>
      <c r="D12" s="25">
        <f>(C20-C19)*$N$3</f>
        <v>29.999999999999993</v>
      </c>
      <c r="E12" s="25">
        <f>(D20-D19)*$N$3</f>
        <v>17.999999999999989</v>
      </c>
      <c r="F12" s="25"/>
      <c r="G12" s="25"/>
      <c r="H12" s="25"/>
      <c r="I12" s="25"/>
      <c r="J12" s="25"/>
      <c r="K12" s="25"/>
      <c r="L12" s="25"/>
      <c r="M12" s="27"/>
      <c r="O12" s="5"/>
      <c r="Q12" s="11"/>
      <c r="S12" s="9"/>
    </row>
    <row r="13" spans="1:22" ht="14" x14ac:dyDescent="0.3">
      <c r="A13" s="34" t="s">
        <v>9</v>
      </c>
      <c r="B13" s="60"/>
      <c r="C13" s="25"/>
      <c r="D13" s="25"/>
      <c r="E13" s="25"/>
      <c r="F13" s="25"/>
      <c r="G13" s="25"/>
      <c r="H13" s="25"/>
      <c r="I13" s="25"/>
      <c r="J13" s="25"/>
      <c r="K13" s="25"/>
      <c r="L13" s="25"/>
      <c r="M13" s="27"/>
      <c r="O13" s="5"/>
      <c r="Q13" s="11"/>
      <c r="S13" s="9"/>
    </row>
    <row r="14" spans="1:22" ht="14" x14ac:dyDescent="0.3">
      <c r="A14" s="36" t="s">
        <v>3</v>
      </c>
      <c r="B14" s="66">
        <f>SUM(B9:B13)</f>
        <v>85</v>
      </c>
      <c r="C14" s="23">
        <f>SUM(C9:C13)</f>
        <v>0</v>
      </c>
      <c r="D14" s="23">
        <f t="shared" ref="D14:G14" si="0">SUM(D9:D13)</f>
        <v>29.999999999999993</v>
      </c>
      <c r="E14" s="23">
        <f>SUM(E9:E13)</f>
        <v>17.999999999999989</v>
      </c>
      <c r="F14" s="23">
        <f t="shared" si="0"/>
        <v>0</v>
      </c>
      <c r="G14" s="23">
        <f t="shared" si="0"/>
        <v>0</v>
      </c>
      <c r="H14" s="23"/>
      <c r="I14" s="23"/>
      <c r="J14" s="23"/>
      <c r="K14" s="23"/>
      <c r="L14" s="23"/>
      <c r="M14" s="57">
        <f>SUM(B14:L14)</f>
        <v>133</v>
      </c>
      <c r="O14" s="5"/>
      <c r="Q14" s="11"/>
      <c r="S14" s="9"/>
    </row>
    <row r="15" spans="1:22" ht="14" x14ac:dyDescent="0.3">
      <c r="A15" s="34" t="s">
        <v>5</v>
      </c>
      <c r="B15" s="65">
        <v>1</v>
      </c>
      <c r="C15" s="24">
        <f>1/(1+$N$4)^C7</f>
        <v>0.94339622641509424</v>
      </c>
      <c r="D15" s="24">
        <f>1/(1+$N$4)^D7</f>
        <v>0.88999644001423983</v>
      </c>
      <c r="E15" s="24">
        <f>1/(1+$N$4)^E7</f>
        <v>0.8396192830323016</v>
      </c>
      <c r="F15" s="24"/>
      <c r="G15" s="24"/>
      <c r="H15" s="24"/>
      <c r="I15" s="24"/>
      <c r="J15" s="24"/>
      <c r="K15" s="24"/>
      <c r="L15" s="24"/>
      <c r="M15" s="57"/>
      <c r="O15" s="5"/>
      <c r="Q15" s="11"/>
      <c r="S15" s="9"/>
    </row>
    <row r="16" spans="1:22" s="38" customFormat="1" ht="14" x14ac:dyDescent="0.3">
      <c r="A16" s="36" t="s">
        <v>6</v>
      </c>
      <c r="B16" s="63">
        <f>B14*B15</f>
        <v>85</v>
      </c>
      <c r="C16" s="56">
        <f>C14*C15</f>
        <v>0</v>
      </c>
      <c r="D16" s="56">
        <f t="shared" ref="D16:G16" si="1">D14*D15</f>
        <v>26.699893200427187</v>
      </c>
      <c r="E16" s="56">
        <f t="shared" si="1"/>
        <v>15.11314709458142</v>
      </c>
      <c r="F16" s="56">
        <f t="shared" si="1"/>
        <v>0</v>
      </c>
      <c r="G16" s="56">
        <f t="shared" si="1"/>
        <v>0</v>
      </c>
      <c r="H16" s="56"/>
      <c r="I16" s="56"/>
      <c r="J16" s="56"/>
      <c r="K16" s="56"/>
      <c r="L16" s="56"/>
      <c r="M16" s="57">
        <f>SUM(B16:L16)</f>
        <v>126.81304029500861</v>
      </c>
      <c r="O16" s="39"/>
      <c r="Q16" s="40"/>
      <c r="S16" s="41"/>
    </row>
    <row r="17" spans="1:19" ht="14" x14ac:dyDescent="0.3">
      <c r="A17" s="34"/>
      <c r="B17" s="34"/>
      <c r="C17" s="28"/>
      <c r="D17" s="28"/>
      <c r="E17" s="28"/>
      <c r="F17" s="28"/>
      <c r="G17" s="28"/>
      <c r="H17" s="28"/>
      <c r="I17" s="28"/>
      <c r="J17" s="28"/>
      <c r="K17" s="28"/>
      <c r="L17" s="28"/>
      <c r="M17" s="26"/>
      <c r="O17" s="5"/>
      <c r="Q17" s="11"/>
      <c r="S17" s="9"/>
    </row>
    <row r="18" spans="1:19" ht="14" x14ac:dyDescent="0.3">
      <c r="A18" s="35" t="s">
        <v>28</v>
      </c>
      <c r="B18" s="35"/>
      <c r="C18" s="29"/>
      <c r="D18" s="29"/>
      <c r="E18" s="29"/>
      <c r="F18" s="29"/>
      <c r="G18" s="29"/>
      <c r="H18" s="29"/>
      <c r="I18" s="29"/>
      <c r="J18" s="29"/>
      <c r="K18" s="29"/>
      <c r="L18" s="29"/>
      <c r="M18" s="30"/>
      <c r="O18" s="5"/>
      <c r="Q18" s="11"/>
      <c r="S18" s="9"/>
    </row>
    <row r="19" spans="1:19" ht="14" x14ac:dyDescent="0.3">
      <c r="A19" s="34" t="s">
        <v>14</v>
      </c>
      <c r="B19" s="34"/>
      <c r="C19" s="43">
        <v>1.8</v>
      </c>
      <c r="D19" s="43">
        <v>2.2000000000000002</v>
      </c>
      <c r="E19" s="43">
        <v>0.4</v>
      </c>
      <c r="F19" s="43"/>
      <c r="G19" s="43"/>
      <c r="H19" s="43"/>
      <c r="I19" s="43"/>
      <c r="J19" s="43"/>
      <c r="K19" s="43"/>
      <c r="L19" s="43"/>
      <c r="M19" s="37">
        <f>SUM(C19:L19)</f>
        <v>4.4000000000000004</v>
      </c>
      <c r="O19" s="5"/>
      <c r="Q19" s="11"/>
      <c r="S19" s="9"/>
    </row>
    <row r="20" spans="1:19" ht="14" x14ac:dyDescent="0.3">
      <c r="A20" s="34" t="s">
        <v>13</v>
      </c>
      <c r="B20" s="34"/>
      <c r="C20" s="43">
        <v>2.8</v>
      </c>
      <c r="D20" s="43">
        <v>2.8</v>
      </c>
      <c r="E20" s="43">
        <v>1.2</v>
      </c>
      <c r="F20" s="43"/>
      <c r="G20" s="43"/>
      <c r="H20" s="43"/>
      <c r="I20" s="43"/>
      <c r="J20" s="43"/>
      <c r="K20" s="43"/>
      <c r="L20" s="43"/>
      <c r="M20" s="37">
        <f>SUM(C20:L20)</f>
        <v>6.8</v>
      </c>
      <c r="O20" s="5"/>
      <c r="Q20" s="11"/>
      <c r="S20" s="9"/>
    </row>
    <row r="21" spans="1:19" ht="14" x14ac:dyDescent="0.3">
      <c r="A21" s="34" t="s">
        <v>30</v>
      </c>
      <c r="B21" s="34"/>
      <c r="C21" s="44">
        <v>255</v>
      </c>
      <c r="D21" s="44">
        <v>215</v>
      </c>
      <c r="E21" s="44">
        <v>771</v>
      </c>
      <c r="F21" s="44"/>
      <c r="G21" s="44"/>
      <c r="H21" s="44"/>
      <c r="I21" s="44"/>
      <c r="J21" s="44"/>
      <c r="K21" s="44"/>
      <c r="L21" s="44"/>
      <c r="M21" s="30"/>
      <c r="O21" s="5"/>
      <c r="Q21" s="11"/>
      <c r="S21" s="9"/>
    </row>
    <row r="22" spans="1:19" ht="14" x14ac:dyDescent="0.3">
      <c r="A22" s="34" t="s">
        <v>11</v>
      </c>
      <c r="B22" s="34"/>
      <c r="C22" s="29">
        <f>(C20-C19)*C21</f>
        <v>254.99999999999994</v>
      </c>
      <c r="D22" s="29">
        <f t="shared" ref="D22:G22" si="2">(D20-D19)*D21</f>
        <v>128.99999999999991</v>
      </c>
      <c r="E22" s="29">
        <f t="shared" si="2"/>
        <v>616.79999999999995</v>
      </c>
      <c r="F22" s="29">
        <f t="shared" si="2"/>
        <v>0</v>
      </c>
      <c r="G22" s="29">
        <f t="shared" si="2"/>
        <v>0</v>
      </c>
      <c r="H22" s="29"/>
      <c r="I22" s="29"/>
      <c r="J22" s="29"/>
      <c r="K22" s="29"/>
      <c r="L22" s="29"/>
      <c r="M22" s="48">
        <f>SUM(C22:L22)</f>
        <v>1000.7999999999998</v>
      </c>
      <c r="O22" s="5"/>
      <c r="Q22" s="11"/>
      <c r="S22" s="9"/>
    </row>
    <row r="23" spans="1:19" ht="14" x14ac:dyDescent="0.3">
      <c r="A23" s="34"/>
      <c r="B23" s="34"/>
      <c r="C23" s="45"/>
      <c r="D23" s="45"/>
      <c r="E23" s="45"/>
      <c r="F23" s="45"/>
      <c r="G23" s="45"/>
      <c r="H23" s="45"/>
      <c r="I23" s="45"/>
      <c r="J23" s="45"/>
      <c r="K23" s="45"/>
      <c r="L23" s="45"/>
      <c r="M23" s="46"/>
      <c r="O23" s="5"/>
      <c r="Q23" s="11"/>
      <c r="S23" s="9"/>
    </row>
    <row r="24" spans="1:19" s="38" customFormat="1" ht="14" x14ac:dyDescent="0.3">
      <c r="A24" s="36" t="s">
        <v>26</v>
      </c>
      <c r="B24" s="36"/>
      <c r="C24" s="47">
        <f>C22*C15</f>
        <v>240.56603773584897</v>
      </c>
      <c r="D24" s="47">
        <f t="shared" ref="D24:G24" si="3">D22*D15</f>
        <v>114.80954076183686</v>
      </c>
      <c r="E24" s="47">
        <f t="shared" si="3"/>
        <v>517.87717377432364</v>
      </c>
      <c r="F24" s="47">
        <f t="shared" si="3"/>
        <v>0</v>
      </c>
      <c r="G24" s="47">
        <f t="shared" si="3"/>
        <v>0</v>
      </c>
      <c r="H24" s="47"/>
      <c r="I24" s="47"/>
      <c r="J24" s="47"/>
      <c r="K24" s="47"/>
      <c r="L24" s="47"/>
      <c r="M24" s="48">
        <f>SUM(C24:L24)</f>
        <v>873.2527522720095</v>
      </c>
      <c r="O24" s="39"/>
      <c r="Q24" s="40"/>
      <c r="S24" s="41"/>
    </row>
    <row r="25" spans="1:19" ht="14" x14ac:dyDescent="0.3">
      <c r="A25" s="1"/>
      <c r="B25" s="1"/>
      <c r="C25" s="28"/>
      <c r="D25" s="28"/>
      <c r="E25" s="28"/>
      <c r="F25" s="28"/>
      <c r="G25" s="28"/>
      <c r="H25" s="28"/>
      <c r="I25" s="28"/>
      <c r="J25" s="28"/>
      <c r="K25" s="28"/>
      <c r="L25" s="28"/>
      <c r="M25" s="30"/>
      <c r="O25" s="5"/>
      <c r="S25" s="9"/>
    </row>
    <row r="26" spans="1:19" ht="14" x14ac:dyDescent="0.3">
      <c r="A26" s="13" t="s">
        <v>8</v>
      </c>
      <c r="B26" s="13"/>
      <c r="C26" s="31"/>
      <c r="D26" s="31"/>
      <c r="E26" s="31"/>
      <c r="F26" s="31"/>
      <c r="G26" s="31"/>
      <c r="H26" s="31"/>
      <c r="I26" s="31"/>
      <c r="J26" s="31"/>
      <c r="K26" s="31"/>
      <c r="L26" s="31"/>
      <c r="M26" s="10"/>
      <c r="O26" s="5"/>
      <c r="R26" s="11"/>
    </row>
    <row r="27" spans="1:19" s="54" customFormat="1" ht="14" x14ac:dyDescent="0.3">
      <c r="A27" s="1" t="s">
        <v>7</v>
      </c>
      <c r="B27" s="32">
        <f>B22-B14</f>
        <v>-85</v>
      </c>
      <c r="C27" s="32">
        <f>C22-C14</f>
        <v>254.99999999999994</v>
      </c>
      <c r="D27" s="32">
        <f t="shared" ref="D27:G27" si="4">D22-D14</f>
        <v>98.999999999999915</v>
      </c>
      <c r="E27" s="32">
        <f t="shared" si="4"/>
        <v>598.79999999999995</v>
      </c>
      <c r="F27" s="32">
        <f t="shared" si="4"/>
        <v>0</v>
      </c>
      <c r="G27" s="32">
        <f t="shared" si="4"/>
        <v>0</v>
      </c>
      <c r="H27" s="32"/>
      <c r="I27" s="32"/>
      <c r="J27" s="32"/>
      <c r="K27" s="32"/>
      <c r="L27" s="32"/>
      <c r="M27" s="79">
        <f>SUM(B27:L27)</f>
        <v>867.79999999999984</v>
      </c>
      <c r="O27" s="55"/>
      <c r="R27" s="80"/>
    </row>
    <row r="28" spans="1:19" ht="14" x14ac:dyDescent="0.3">
      <c r="A28" s="2" t="s">
        <v>20</v>
      </c>
      <c r="B28" s="32">
        <f>B24-B16</f>
        <v>-85</v>
      </c>
      <c r="C28" s="32">
        <f>C24-C16</f>
        <v>240.56603773584897</v>
      </c>
      <c r="D28" s="32">
        <f t="shared" ref="D28:G28" si="5">D24-D16</f>
        <v>88.109647561409673</v>
      </c>
      <c r="E28" s="32">
        <f t="shared" si="5"/>
        <v>502.76402667974224</v>
      </c>
      <c r="F28" s="32">
        <f t="shared" si="5"/>
        <v>0</v>
      </c>
      <c r="G28" s="32">
        <f t="shared" si="5"/>
        <v>0</v>
      </c>
      <c r="H28" s="32"/>
      <c r="I28" s="32"/>
      <c r="J28" s="32"/>
      <c r="K28" s="32"/>
      <c r="L28" s="32"/>
      <c r="M28" s="58">
        <f>SUM(B28:L28)</f>
        <v>746.43971197700091</v>
      </c>
      <c r="O28" s="5"/>
      <c r="R28" s="11"/>
    </row>
    <row r="29" spans="1:19" ht="14" x14ac:dyDescent="0.3">
      <c r="A29" s="2" t="s">
        <v>19</v>
      </c>
      <c r="B29" s="32">
        <f>B28</f>
        <v>-85</v>
      </c>
      <c r="C29" s="32">
        <f>B28+C28</f>
        <v>155.56603773584897</v>
      </c>
      <c r="D29" s="32">
        <f>D28+C29</f>
        <v>243.67568529725864</v>
      </c>
      <c r="E29" s="32">
        <f t="shared" ref="E29:G29" si="6">E28+D29</f>
        <v>746.43971197700091</v>
      </c>
      <c r="F29" s="32">
        <f t="shared" si="6"/>
        <v>746.43971197700091</v>
      </c>
      <c r="G29" s="32">
        <f t="shared" si="6"/>
        <v>746.43971197700091</v>
      </c>
      <c r="H29" s="32"/>
      <c r="I29" s="32"/>
      <c r="J29" s="32"/>
      <c r="K29" s="32"/>
      <c r="L29" s="32"/>
      <c r="M29" s="58"/>
      <c r="O29" s="5"/>
      <c r="R29" s="11"/>
    </row>
    <row r="30" spans="1:19" s="54" customFormat="1" ht="14" x14ac:dyDescent="0.3">
      <c r="A30" s="1" t="s">
        <v>17</v>
      </c>
      <c r="B30" s="77">
        <f>(SUM(B22)-SUM(B14:B14))/SUM(B14:B14)</f>
        <v>-1</v>
      </c>
      <c r="C30" s="77">
        <f>(SUM($B$22:C22)-SUM($B$14:C14))/SUM($B$14:C14)</f>
        <v>1.9999999999999993</v>
      </c>
      <c r="D30" s="77">
        <f>(SUM($B$22:D22)-SUM($B$14:D14))/SUM($B$14:D14)</f>
        <v>2.3391304347826076</v>
      </c>
      <c r="E30" s="77">
        <f>(SUM($B$22:E22)-SUM($B$14:E14))/SUM($B$14:E14)</f>
        <v>6.5248120300751866</v>
      </c>
      <c r="F30" s="77">
        <f>(SUM($B$22:F22)-SUM($B$14:F14))/SUM($B$14:F14)</f>
        <v>6.5248120300751866</v>
      </c>
      <c r="G30" s="77">
        <f>(SUM($B$22:G22)-SUM($B$14:G14))/SUM($B$14:G14)</f>
        <v>6.5248120300751866</v>
      </c>
      <c r="H30" s="77"/>
      <c r="I30" s="77"/>
      <c r="J30" s="77"/>
      <c r="K30" s="77"/>
      <c r="L30" s="77"/>
      <c r="M30" s="78">
        <f>(M22-M14)/M14</f>
        <v>6.5248120300751866</v>
      </c>
    </row>
    <row r="31" spans="1:19" ht="14" x14ac:dyDescent="0.3">
      <c r="A31" s="2" t="s">
        <v>29</v>
      </c>
      <c r="B31" s="20">
        <f>(SUM(B23)-SUM(B15:B15))/SUM(B15:B15)</f>
        <v>-1</v>
      </c>
      <c r="C31" s="20">
        <f>(SUM($B$24:C24)-SUM($B$16:C16))/SUM($B$16:C16)</f>
        <v>1.8301886792452819</v>
      </c>
      <c r="D31" s="20">
        <f>(SUM($B$24:D24)-SUM($B$16:D16))/SUM($B$16:D16)</f>
        <v>2.1815212021735997</v>
      </c>
      <c r="E31" s="20">
        <f>(SUM($B$24:E24)-SUM($B$16:E16))/SUM($B$16:E16)</f>
        <v>5.8861431777089956</v>
      </c>
      <c r="F31" s="20">
        <f>(SUM($B$24:F24)-SUM($B$16:F16))/SUM($B$16:F16)</f>
        <v>5.8861431777089956</v>
      </c>
      <c r="G31" s="20">
        <f>(SUM($B$24:G24)-SUM($B$16:G16))/SUM($B$16:G16)</f>
        <v>5.8861431777089956</v>
      </c>
      <c r="H31" s="20"/>
      <c r="I31" s="20"/>
      <c r="J31" s="20"/>
      <c r="K31" s="20"/>
      <c r="L31" s="20"/>
      <c r="M31" s="59">
        <f>(M24-M16)/M16</f>
        <v>5.8861431777089956</v>
      </c>
    </row>
    <row r="32" spans="1:19" ht="14" x14ac:dyDescent="0.3">
      <c r="A32" s="2" t="s">
        <v>18</v>
      </c>
      <c r="B32" s="20"/>
      <c r="C32" s="20"/>
      <c r="D32" s="20"/>
      <c r="E32" s="20"/>
      <c r="F32" s="20"/>
      <c r="G32" s="20"/>
      <c r="H32" s="20"/>
      <c r="I32" s="20"/>
      <c r="J32" s="20"/>
      <c r="K32" s="20"/>
      <c r="L32" s="20"/>
      <c r="M32" s="19">
        <f>M24/M16</f>
        <v>6.8861431777089956</v>
      </c>
    </row>
    <row r="33" spans="1:15" s="71" customFormat="1" ht="13.9" customHeight="1" x14ac:dyDescent="0.3">
      <c r="A33" s="68" t="s">
        <v>4</v>
      </c>
      <c r="B33" s="68"/>
      <c r="C33" s="69"/>
      <c r="D33" s="69"/>
      <c r="E33" s="69"/>
      <c r="F33" s="69"/>
      <c r="G33" s="69"/>
      <c r="H33" s="69"/>
      <c r="I33" s="69"/>
      <c r="J33" s="69"/>
      <c r="K33" s="69"/>
      <c r="L33" s="69"/>
      <c r="M33" s="70">
        <f>M24-M16</f>
        <v>746.43971197700091</v>
      </c>
      <c r="O33" s="72"/>
    </row>
    <row r="34" spans="1:15" s="74" customFormat="1" ht="19.899999999999999" customHeight="1" x14ac:dyDescent="0.3">
      <c r="A34" s="73" t="s">
        <v>25</v>
      </c>
      <c r="M34" s="75">
        <f>MIRR(B27:L27,N4,N4)</f>
        <v>0.67258513572624068</v>
      </c>
    </row>
    <row r="36" spans="1:15" x14ac:dyDescent="0.25">
      <c r="A36" s="54" t="s">
        <v>23</v>
      </c>
    </row>
    <row r="37" spans="1:15" x14ac:dyDescent="0.25">
      <c r="A37" s="54" t="s">
        <v>46</v>
      </c>
    </row>
    <row r="39" spans="1:15" x14ac:dyDescent="0.25">
      <c r="B39" t="s">
        <v>31</v>
      </c>
      <c r="C39" t="s">
        <v>32</v>
      </c>
      <c r="D39" t="s">
        <v>33</v>
      </c>
      <c r="E39" t="s">
        <v>34</v>
      </c>
      <c r="F39" t="s">
        <v>35</v>
      </c>
      <c r="G39" t="s">
        <v>36</v>
      </c>
    </row>
    <row r="40" spans="1:15" x14ac:dyDescent="0.25">
      <c r="A40" t="s">
        <v>37</v>
      </c>
      <c r="B40" s="76">
        <f>B28</f>
        <v>-85</v>
      </c>
      <c r="C40" s="76">
        <f>C28+B40</f>
        <v>155.56603773584897</v>
      </c>
      <c r="D40" s="76">
        <f>D28+C40</f>
        <v>243.67568529725864</v>
      </c>
      <c r="E40" s="76">
        <f t="shared" ref="E40" si="7">E28+D40</f>
        <v>746.43971197700091</v>
      </c>
      <c r="F40" s="76"/>
      <c r="G40" s="76"/>
    </row>
  </sheetData>
  <mergeCells count="2">
    <mergeCell ref="A1:N1"/>
    <mergeCell ref="C6:L6"/>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909414-2A22-4BEE-A7E9-DAAA8963B175}">
  <dimension ref="A1:V40"/>
  <sheetViews>
    <sheetView topLeftCell="L18" workbookViewId="0">
      <selection activeCell="M34" sqref="M34"/>
    </sheetView>
  </sheetViews>
  <sheetFormatPr defaultRowHeight="12.5" x14ac:dyDescent="0.25"/>
  <cols>
    <col min="1" max="1" width="45.1796875" customWidth="1"/>
    <col min="2" max="2" width="15.7265625" customWidth="1"/>
    <col min="3" max="3" width="21.26953125" customWidth="1"/>
    <col min="4" max="10" width="13" customWidth="1"/>
    <col min="11" max="13" width="14.1796875" customWidth="1"/>
    <col min="14" max="14" width="13.81640625" customWidth="1"/>
    <col min="15" max="15" width="14.26953125" customWidth="1"/>
    <col min="16" max="16" width="3.26953125" customWidth="1"/>
    <col min="18" max="18" width="11.1796875" bestFit="1" customWidth="1"/>
    <col min="19" max="20" width="12.7265625" bestFit="1" customWidth="1"/>
  </cols>
  <sheetData>
    <row r="1" spans="1:22" ht="17.25" customHeight="1" x14ac:dyDescent="0.35">
      <c r="A1" s="84" t="s">
        <v>22</v>
      </c>
      <c r="B1" s="84"/>
      <c r="C1" s="85"/>
      <c r="D1" s="85"/>
      <c r="E1" s="85"/>
      <c r="F1" s="85"/>
      <c r="G1" s="85"/>
      <c r="H1" s="85"/>
      <c r="I1" s="85"/>
      <c r="J1" s="85"/>
      <c r="K1" s="85"/>
      <c r="L1" s="85"/>
      <c r="M1" s="86"/>
      <c r="N1" s="86"/>
      <c r="O1" s="5"/>
      <c r="P1" s="5"/>
      <c r="Q1" s="5"/>
      <c r="R1" s="5"/>
      <c r="S1" s="5"/>
      <c r="T1" s="5"/>
      <c r="U1" s="5"/>
      <c r="V1" s="5"/>
    </row>
    <row r="2" spans="1:22" ht="12.75" customHeight="1" x14ac:dyDescent="0.35">
      <c r="A2" s="3"/>
      <c r="B2" s="3"/>
      <c r="C2" s="4"/>
      <c r="D2" s="4"/>
      <c r="E2" s="4"/>
      <c r="F2" s="4"/>
      <c r="G2" s="4"/>
      <c r="H2" s="4"/>
      <c r="I2" s="4"/>
      <c r="J2" s="4"/>
      <c r="K2" s="4"/>
      <c r="L2" s="4"/>
      <c r="M2" s="4"/>
      <c r="N2" s="5"/>
      <c r="O2" s="5"/>
      <c r="P2" s="5"/>
      <c r="Q2" s="5"/>
      <c r="R2" s="5"/>
      <c r="S2" s="5"/>
      <c r="T2" s="5"/>
      <c r="U2" s="5"/>
      <c r="V2" s="5"/>
    </row>
    <row r="3" spans="1:22" x14ac:dyDescent="0.25">
      <c r="A3" s="5"/>
      <c r="B3" s="5"/>
      <c r="C3" s="5"/>
      <c r="D3" s="5"/>
      <c r="E3" s="55"/>
      <c r="F3" s="5"/>
      <c r="G3" s="5"/>
      <c r="H3" s="5"/>
      <c r="I3" s="5"/>
      <c r="J3" s="5"/>
      <c r="K3" s="5"/>
      <c r="L3" s="5"/>
      <c r="M3" s="5" t="s">
        <v>42</v>
      </c>
      <c r="N3" s="5">
        <v>30</v>
      </c>
      <c r="P3" s="5"/>
    </row>
    <row r="4" spans="1:22" ht="14" x14ac:dyDescent="0.3">
      <c r="A4" s="54" t="s">
        <v>51</v>
      </c>
      <c r="M4" s="14" t="s">
        <v>0</v>
      </c>
      <c r="N4" s="15">
        <v>0.06</v>
      </c>
      <c r="O4" s="7"/>
      <c r="P4" s="5"/>
    </row>
    <row r="5" spans="1:22" ht="10.5" customHeight="1" thickBot="1" x14ac:dyDescent="0.35">
      <c r="A5" s="8"/>
      <c r="B5" s="8"/>
      <c r="C5" s="6"/>
      <c r="D5" s="6"/>
      <c r="E5" s="6"/>
      <c r="F5" s="6"/>
      <c r="G5" s="6"/>
      <c r="H5" s="6"/>
      <c r="I5" s="6"/>
      <c r="J5" s="6"/>
      <c r="K5" s="6"/>
      <c r="L5" s="6"/>
      <c r="M5" s="6"/>
      <c r="N5" s="6"/>
      <c r="O5" s="6"/>
      <c r="P5" s="5"/>
    </row>
    <row r="6" spans="1:22" ht="14" x14ac:dyDescent="0.3">
      <c r="A6" s="16"/>
      <c r="B6" s="16"/>
      <c r="C6" s="82" t="s">
        <v>16</v>
      </c>
      <c r="D6" s="82"/>
      <c r="E6" s="82"/>
      <c r="F6" s="82"/>
      <c r="G6" s="82"/>
      <c r="H6" s="82"/>
      <c r="I6" s="82"/>
      <c r="J6" s="82"/>
      <c r="K6" s="82"/>
      <c r="L6" s="83"/>
      <c r="M6" s="18" t="s">
        <v>1</v>
      </c>
      <c r="O6" s="5"/>
    </row>
    <row r="7" spans="1:22" ht="14" x14ac:dyDescent="0.3">
      <c r="B7" s="62">
        <v>0</v>
      </c>
      <c r="C7" s="12">
        <v>1</v>
      </c>
      <c r="D7" s="12">
        <v>2</v>
      </c>
      <c r="E7" s="12">
        <v>3</v>
      </c>
      <c r="F7" s="12">
        <v>4</v>
      </c>
      <c r="G7" s="12">
        <v>5</v>
      </c>
      <c r="H7" s="12">
        <v>6</v>
      </c>
      <c r="I7" s="12">
        <v>7</v>
      </c>
      <c r="J7" s="12">
        <v>8</v>
      </c>
      <c r="K7" s="12">
        <v>9</v>
      </c>
      <c r="L7" s="12">
        <v>10</v>
      </c>
      <c r="M7" s="17" t="s">
        <v>2</v>
      </c>
      <c r="O7" s="5"/>
    </row>
    <row r="8" spans="1:22" ht="14" x14ac:dyDescent="0.3">
      <c r="A8" s="13" t="s">
        <v>27</v>
      </c>
      <c r="B8" s="13"/>
      <c r="C8" s="81" t="s">
        <v>39</v>
      </c>
      <c r="D8" s="81" t="s">
        <v>38</v>
      </c>
      <c r="E8" s="81"/>
      <c r="F8" s="1"/>
      <c r="G8" s="1"/>
      <c r="H8" s="1"/>
      <c r="I8" s="1"/>
      <c r="J8" s="1"/>
      <c r="K8" s="1"/>
      <c r="L8" s="1"/>
      <c r="O8" s="5"/>
    </row>
    <row r="9" spans="1:22" ht="14" x14ac:dyDescent="0.3">
      <c r="A9" s="34" t="s">
        <v>10</v>
      </c>
      <c r="B9" s="60">
        <v>85</v>
      </c>
      <c r="C9" s="21"/>
      <c r="D9" s="21"/>
      <c r="E9" s="21"/>
      <c r="F9" s="21"/>
      <c r="G9" s="21"/>
      <c r="H9" s="21"/>
      <c r="I9" s="21"/>
      <c r="J9" s="21"/>
      <c r="K9" s="21"/>
      <c r="L9" s="21"/>
      <c r="M9" s="26"/>
      <c r="O9" s="5"/>
      <c r="S9" s="9"/>
    </row>
    <row r="10" spans="1:22" ht="14" x14ac:dyDescent="0.3">
      <c r="A10" s="42" t="s">
        <v>21</v>
      </c>
      <c r="B10" s="61">
        <v>0</v>
      </c>
      <c r="C10" s="22"/>
      <c r="D10" s="22">
        <v>0</v>
      </c>
      <c r="E10" s="22"/>
      <c r="F10" s="22"/>
      <c r="G10" s="22"/>
      <c r="H10" s="22"/>
      <c r="I10" s="22"/>
      <c r="J10" s="22"/>
      <c r="K10" s="22"/>
      <c r="L10" s="22"/>
      <c r="M10" s="27"/>
      <c r="O10" s="5"/>
      <c r="Q10" s="11"/>
      <c r="S10" s="9"/>
    </row>
    <row r="11" spans="1:22" ht="14" x14ac:dyDescent="0.3">
      <c r="A11" s="42" t="s">
        <v>15</v>
      </c>
      <c r="B11" s="64"/>
      <c r="C11" s="25">
        <v>0</v>
      </c>
      <c r="D11" s="25">
        <v>0</v>
      </c>
      <c r="E11" s="25"/>
      <c r="F11" s="25"/>
      <c r="G11" s="25"/>
      <c r="H11" s="25"/>
      <c r="I11" s="25"/>
      <c r="J11" s="25"/>
      <c r="K11" s="25"/>
      <c r="L11" s="25"/>
      <c r="M11" s="27"/>
      <c r="O11" s="5"/>
      <c r="Q11" s="11"/>
      <c r="S11" s="9"/>
    </row>
    <row r="12" spans="1:22" ht="14" x14ac:dyDescent="0.3">
      <c r="A12" s="34" t="s">
        <v>50</v>
      </c>
      <c r="B12" s="60"/>
      <c r="C12" s="25"/>
      <c r="D12" s="25">
        <f>(C20-C19)*$N$3</f>
        <v>12.000000000000011</v>
      </c>
      <c r="E12" s="25"/>
      <c r="F12" s="25"/>
      <c r="G12" s="25"/>
      <c r="H12" s="25"/>
      <c r="I12" s="25"/>
      <c r="J12" s="25"/>
      <c r="K12" s="25"/>
      <c r="L12" s="25"/>
      <c r="M12" s="27"/>
      <c r="O12" s="5"/>
      <c r="Q12" s="11"/>
      <c r="S12" s="9"/>
    </row>
    <row r="13" spans="1:22" ht="14" x14ac:dyDescent="0.3">
      <c r="A13" s="34" t="s">
        <v>9</v>
      </c>
      <c r="B13" s="60"/>
      <c r="C13" s="25"/>
      <c r="D13" s="25"/>
      <c r="E13" s="25"/>
      <c r="F13" s="25"/>
      <c r="G13" s="25"/>
      <c r="H13" s="25"/>
      <c r="I13" s="25"/>
      <c r="J13" s="25"/>
      <c r="K13" s="25"/>
      <c r="L13" s="25"/>
      <c r="M13" s="27"/>
      <c r="O13" s="5"/>
      <c r="Q13" s="11"/>
      <c r="S13" s="9"/>
    </row>
    <row r="14" spans="1:22" ht="14" x14ac:dyDescent="0.3">
      <c r="A14" s="36" t="s">
        <v>3</v>
      </c>
      <c r="B14" s="66">
        <f>SUM(B9:B13)</f>
        <v>85</v>
      </c>
      <c r="C14" s="23">
        <f>SUM(C9:C13)</f>
        <v>0</v>
      </c>
      <c r="D14" s="23">
        <f t="shared" ref="D14:G14" si="0">SUM(D9:D13)</f>
        <v>12.000000000000011</v>
      </c>
      <c r="E14" s="23">
        <f>SUM(E9:E13)</f>
        <v>0</v>
      </c>
      <c r="F14" s="23">
        <f t="shared" si="0"/>
        <v>0</v>
      </c>
      <c r="G14" s="23">
        <f t="shared" si="0"/>
        <v>0</v>
      </c>
      <c r="H14" s="23"/>
      <c r="I14" s="23"/>
      <c r="J14" s="23"/>
      <c r="K14" s="23"/>
      <c r="L14" s="23"/>
      <c r="M14" s="57">
        <f>SUM(B14:L14)</f>
        <v>97.000000000000014</v>
      </c>
      <c r="O14" s="5"/>
      <c r="Q14" s="11"/>
      <c r="S14" s="9"/>
    </row>
    <row r="15" spans="1:22" ht="14" x14ac:dyDescent="0.3">
      <c r="A15" s="34" t="s">
        <v>5</v>
      </c>
      <c r="B15" s="65">
        <v>1</v>
      </c>
      <c r="C15" s="24">
        <f>1/(1+$N$4)^C7</f>
        <v>0.94339622641509424</v>
      </c>
      <c r="D15" s="24">
        <f>1/(1+$N$4)^D7</f>
        <v>0.88999644001423983</v>
      </c>
      <c r="E15" s="24"/>
      <c r="F15" s="24"/>
      <c r="G15" s="24"/>
      <c r="H15" s="24"/>
      <c r="I15" s="24"/>
      <c r="J15" s="24"/>
      <c r="K15" s="24"/>
      <c r="L15" s="24"/>
      <c r="M15" s="57"/>
      <c r="O15" s="5"/>
      <c r="Q15" s="11"/>
      <c r="S15" s="9"/>
    </row>
    <row r="16" spans="1:22" s="38" customFormat="1" ht="14" x14ac:dyDescent="0.3">
      <c r="A16" s="36" t="s">
        <v>6</v>
      </c>
      <c r="B16" s="63">
        <f>B14*B15</f>
        <v>85</v>
      </c>
      <c r="C16" s="56">
        <f>C14*C15</f>
        <v>0</v>
      </c>
      <c r="D16" s="56">
        <f t="shared" ref="D16:G16" si="1">D14*D15</f>
        <v>10.679957280170887</v>
      </c>
      <c r="E16" s="56">
        <f t="shared" si="1"/>
        <v>0</v>
      </c>
      <c r="F16" s="56">
        <f t="shared" si="1"/>
        <v>0</v>
      </c>
      <c r="G16" s="56">
        <f t="shared" si="1"/>
        <v>0</v>
      </c>
      <c r="H16" s="56"/>
      <c r="I16" s="56"/>
      <c r="J16" s="56"/>
      <c r="K16" s="56"/>
      <c r="L16" s="56"/>
      <c r="M16" s="57">
        <f>SUM(B16:L16)</f>
        <v>95.679957280170882</v>
      </c>
      <c r="O16" s="39"/>
      <c r="Q16" s="40"/>
      <c r="S16" s="41"/>
    </row>
    <row r="17" spans="1:19" ht="14" x14ac:dyDescent="0.3">
      <c r="A17" s="34"/>
      <c r="B17" s="34"/>
      <c r="C17" s="28"/>
      <c r="D17" s="28"/>
      <c r="E17" s="28"/>
      <c r="F17" s="28"/>
      <c r="G17" s="28"/>
      <c r="H17" s="28"/>
      <c r="I17" s="28"/>
      <c r="J17" s="28"/>
      <c r="K17" s="28"/>
      <c r="L17" s="28"/>
      <c r="M17" s="26"/>
      <c r="O17" s="5"/>
      <c r="Q17" s="11"/>
      <c r="S17" s="9"/>
    </row>
    <row r="18" spans="1:19" ht="14" x14ac:dyDescent="0.3">
      <c r="A18" s="35" t="s">
        <v>28</v>
      </c>
      <c r="B18" s="35"/>
      <c r="C18" s="29"/>
      <c r="D18" s="29"/>
      <c r="E18" s="29"/>
      <c r="F18" s="29"/>
      <c r="G18" s="29"/>
      <c r="H18" s="29"/>
      <c r="I18" s="29"/>
      <c r="J18" s="29"/>
      <c r="K18" s="29"/>
      <c r="L18" s="29"/>
      <c r="M18" s="30"/>
      <c r="O18" s="5"/>
      <c r="Q18" s="11"/>
      <c r="S18" s="9"/>
    </row>
    <row r="19" spans="1:19" ht="14" x14ac:dyDescent="0.3">
      <c r="A19" s="34" t="s">
        <v>14</v>
      </c>
      <c r="B19" s="34"/>
      <c r="C19" s="43">
        <v>3.8</v>
      </c>
      <c r="D19" s="43">
        <v>4.9000000000000004</v>
      </c>
      <c r="E19" s="43"/>
      <c r="F19" s="43"/>
      <c r="G19" s="43"/>
      <c r="H19" s="43"/>
      <c r="I19" s="43"/>
      <c r="J19" s="43"/>
      <c r="K19" s="43"/>
      <c r="L19" s="43"/>
      <c r="M19" s="37">
        <f>SUM(C19:L19)</f>
        <v>8.6999999999999993</v>
      </c>
      <c r="O19" s="5"/>
      <c r="Q19" s="11"/>
      <c r="S19" s="9"/>
    </row>
    <row r="20" spans="1:19" ht="14" x14ac:dyDescent="0.3">
      <c r="A20" s="34" t="s">
        <v>13</v>
      </c>
      <c r="B20" s="34"/>
      <c r="C20" s="43">
        <v>4.2</v>
      </c>
      <c r="D20" s="43">
        <v>4.9000000000000004</v>
      </c>
      <c r="E20" s="43"/>
      <c r="F20" s="43"/>
      <c r="G20" s="43"/>
      <c r="H20" s="43"/>
      <c r="I20" s="43"/>
      <c r="J20" s="43"/>
      <c r="K20" s="43"/>
      <c r="L20" s="43"/>
      <c r="M20" s="37">
        <f>SUM(C20:L20)</f>
        <v>9.1000000000000014</v>
      </c>
      <c r="O20" s="5"/>
      <c r="Q20" s="11"/>
      <c r="S20" s="9"/>
    </row>
    <row r="21" spans="1:19" ht="14" x14ac:dyDescent="0.3">
      <c r="A21" s="34" t="s">
        <v>30</v>
      </c>
      <c r="B21" s="34"/>
      <c r="C21" s="44">
        <v>255</v>
      </c>
      <c r="D21" s="44">
        <v>215</v>
      </c>
      <c r="E21" s="44"/>
      <c r="F21" s="44"/>
      <c r="G21" s="44"/>
      <c r="H21" s="44"/>
      <c r="I21" s="44"/>
      <c r="J21" s="44"/>
      <c r="K21" s="44"/>
      <c r="L21" s="44"/>
      <c r="M21" s="30"/>
      <c r="O21" s="5"/>
      <c r="Q21" s="11"/>
      <c r="S21" s="9"/>
    </row>
    <row r="22" spans="1:19" ht="14" x14ac:dyDescent="0.3">
      <c r="A22" s="34" t="s">
        <v>11</v>
      </c>
      <c r="B22" s="34"/>
      <c r="C22" s="29">
        <f>(C20-C19)*C21</f>
        <v>102.00000000000009</v>
      </c>
      <c r="D22" s="29">
        <f t="shared" ref="D22:G22" si="2">(D20-D19)*D21</f>
        <v>0</v>
      </c>
      <c r="E22" s="29">
        <f t="shared" si="2"/>
        <v>0</v>
      </c>
      <c r="F22" s="29">
        <f t="shared" si="2"/>
        <v>0</v>
      </c>
      <c r="G22" s="29">
        <f t="shared" si="2"/>
        <v>0</v>
      </c>
      <c r="H22" s="29"/>
      <c r="I22" s="29"/>
      <c r="J22" s="29"/>
      <c r="K22" s="29"/>
      <c r="L22" s="29"/>
      <c r="M22" s="48">
        <f>SUM(C22:L22)</f>
        <v>102.00000000000009</v>
      </c>
      <c r="O22" s="5"/>
      <c r="Q22" s="11"/>
      <c r="S22" s="9"/>
    </row>
    <row r="23" spans="1:19" ht="14" x14ac:dyDescent="0.3">
      <c r="A23" s="34"/>
      <c r="B23" s="34"/>
      <c r="C23" s="45"/>
      <c r="D23" s="45"/>
      <c r="E23" s="45"/>
      <c r="F23" s="45"/>
      <c r="G23" s="45"/>
      <c r="H23" s="45"/>
      <c r="I23" s="45"/>
      <c r="J23" s="45"/>
      <c r="K23" s="45"/>
      <c r="L23" s="45"/>
      <c r="M23" s="46"/>
      <c r="O23" s="5"/>
      <c r="Q23" s="11"/>
      <c r="S23" s="9"/>
    </row>
    <row r="24" spans="1:19" s="38" customFormat="1" ht="14" x14ac:dyDescent="0.3">
      <c r="A24" s="36" t="s">
        <v>26</v>
      </c>
      <c r="B24" s="36"/>
      <c r="C24" s="47">
        <f>C22*C15</f>
        <v>96.2264150943397</v>
      </c>
      <c r="D24" s="47">
        <f t="shared" ref="D24:G24" si="3">D22*D15</f>
        <v>0</v>
      </c>
      <c r="E24" s="47">
        <f t="shared" si="3"/>
        <v>0</v>
      </c>
      <c r="F24" s="47">
        <f t="shared" si="3"/>
        <v>0</v>
      </c>
      <c r="G24" s="47">
        <f t="shared" si="3"/>
        <v>0</v>
      </c>
      <c r="H24" s="47"/>
      <c r="I24" s="47"/>
      <c r="J24" s="47"/>
      <c r="K24" s="47"/>
      <c r="L24" s="47"/>
      <c r="M24" s="48">
        <f>SUM(C24:L24)</f>
        <v>96.2264150943397</v>
      </c>
      <c r="O24" s="39"/>
      <c r="Q24" s="40"/>
      <c r="S24" s="41"/>
    </row>
    <row r="25" spans="1:19" ht="14" x14ac:dyDescent="0.3">
      <c r="A25" s="1"/>
      <c r="B25" s="1"/>
      <c r="C25" s="28"/>
      <c r="D25" s="28"/>
      <c r="E25" s="28"/>
      <c r="F25" s="28"/>
      <c r="G25" s="28"/>
      <c r="H25" s="28"/>
      <c r="I25" s="28"/>
      <c r="J25" s="28"/>
      <c r="K25" s="28"/>
      <c r="L25" s="28"/>
      <c r="M25" s="30"/>
      <c r="O25" s="5"/>
      <c r="S25" s="9"/>
    </row>
    <row r="26" spans="1:19" ht="14" x14ac:dyDescent="0.3">
      <c r="A26" s="13" t="s">
        <v>8</v>
      </c>
      <c r="B26" s="13"/>
      <c r="C26" s="31"/>
      <c r="D26" s="31"/>
      <c r="E26" s="31"/>
      <c r="F26" s="31"/>
      <c r="G26" s="31"/>
      <c r="H26" s="31"/>
      <c r="I26" s="31"/>
      <c r="J26" s="31"/>
      <c r="K26" s="31"/>
      <c r="L26" s="31"/>
      <c r="M26" s="10"/>
      <c r="O26" s="5"/>
      <c r="R26" s="11"/>
    </row>
    <row r="27" spans="1:19" s="54" customFormat="1" ht="14" x14ac:dyDescent="0.3">
      <c r="A27" s="1" t="s">
        <v>7</v>
      </c>
      <c r="B27" s="32">
        <f>B22-B14</f>
        <v>-85</v>
      </c>
      <c r="C27" s="32">
        <f>C22-C14</f>
        <v>102.00000000000009</v>
      </c>
      <c r="D27" s="32">
        <f t="shared" ref="D27:G27" si="4">D22-D14</f>
        <v>-12.000000000000011</v>
      </c>
      <c r="E27" s="32">
        <f t="shared" si="4"/>
        <v>0</v>
      </c>
      <c r="F27" s="32">
        <f t="shared" si="4"/>
        <v>0</v>
      </c>
      <c r="G27" s="32">
        <f t="shared" si="4"/>
        <v>0</v>
      </c>
      <c r="H27" s="32"/>
      <c r="I27" s="32"/>
      <c r="J27" s="32"/>
      <c r="K27" s="32"/>
      <c r="L27" s="32"/>
      <c r="M27" s="79">
        <f>SUM(B27:L27)</f>
        <v>5.0000000000000746</v>
      </c>
      <c r="O27" s="55"/>
      <c r="R27" s="80"/>
    </row>
    <row r="28" spans="1:19" ht="14" x14ac:dyDescent="0.3">
      <c r="A28" s="2" t="s">
        <v>20</v>
      </c>
      <c r="B28" s="32">
        <f>B24-B16</f>
        <v>-85</v>
      </c>
      <c r="C28" s="32">
        <f>C24-C16</f>
        <v>96.2264150943397</v>
      </c>
      <c r="D28" s="32">
        <f t="shared" ref="D28:G28" si="5">D24-D16</f>
        <v>-10.679957280170887</v>
      </c>
      <c r="E28" s="32">
        <f t="shared" si="5"/>
        <v>0</v>
      </c>
      <c r="F28" s="32">
        <f t="shared" si="5"/>
        <v>0</v>
      </c>
      <c r="G28" s="32">
        <f t="shared" si="5"/>
        <v>0</v>
      </c>
      <c r="H28" s="32"/>
      <c r="I28" s="32"/>
      <c r="J28" s="32"/>
      <c r="K28" s="32"/>
      <c r="L28" s="32"/>
      <c r="M28" s="58">
        <f>SUM(B28:L28)</f>
        <v>0.54645781416881256</v>
      </c>
      <c r="O28" s="5"/>
      <c r="R28" s="11"/>
    </row>
    <row r="29" spans="1:19" ht="14" x14ac:dyDescent="0.3">
      <c r="A29" s="2" t="s">
        <v>19</v>
      </c>
      <c r="B29" s="32">
        <f>B28</f>
        <v>-85</v>
      </c>
      <c r="C29" s="32">
        <f>B28+C28</f>
        <v>11.2264150943397</v>
      </c>
      <c r="D29" s="32">
        <f>D28+C29</f>
        <v>0.54645781416881256</v>
      </c>
      <c r="E29" s="32">
        <f t="shared" ref="E29:G29" si="6">E28+D29</f>
        <v>0.54645781416881256</v>
      </c>
      <c r="F29" s="32">
        <f t="shared" si="6"/>
        <v>0.54645781416881256</v>
      </c>
      <c r="G29" s="32">
        <f t="shared" si="6"/>
        <v>0.54645781416881256</v>
      </c>
      <c r="H29" s="32"/>
      <c r="I29" s="32"/>
      <c r="J29" s="32"/>
      <c r="K29" s="32"/>
      <c r="L29" s="32"/>
      <c r="M29" s="58"/>
      <c r="O29" s="5"/>
      <c r="R29" s="11"/>
    </row>
    <row r="30" spans="1:19" s="54" customFormat="1" ht="14" x14ac:dyDescent="0.3">
      <c r="A30" s="1" t="s">
        <v>17</v>
      </c>
      <c r="B30" s="77">
        <f>(SUM(B22)-SUM(B14:B14))/SUM(B14:B14)</f>
        <v>-1</v>
      </c>
      <c r="C30" s="77">
        <f>(SUM($B$22:C22)-SUM($B$14:C14))/SUM($B$14:C14)</f>
        <v>0.20000000000000101</v>
      </c>
      <c r="D30" s="77">
        <f>(SUM($B$22:D22)-SUM($B$14:D14))/SUM($B$14:D14)</f>
        <v>5.1546391752578045E-2</v>
      </c>
      <c r="E30" s="77">
        <f>(SUM($B$22:E22)-SUM($B$14:E14))/SUM($B$14:E14)</f>
        <v>5.1546391752578045E-2</v>
      </c>
      <c r="F30" s="77">
        <f>(SUM($B$22:F22)-SUM($B$14:F14))/SUM($B$14:F14)</f>
        <v>5.1546391752578045E-2</v>
      </c>
      <c r="G30" s="77">
        <f>(SUM($B$22:G22)-SUM($B$14:G14))/SUM($B$14:G14)</f>
        <v>5.1546391752578045E-2</v>
      </c>
      <c r="H30" s="77"/>
      <c r="I30" s="77"/>
      <c r="J30" s="77"/>
      <c r="K30" s="77"/>
      <c r="L30" s="77"/>
      <c r="M30" s="78">
        <f>(M22-M14)/M14</f>
        <v>5.1546391752578045E-2</v>
      </c>
    </row>
    <row r="31" spans="1:19" ht="14" x14ac:dyDescent="0.3">
      <c r="A31" s="2" t="s">
        <v>29</v>
      </c>
      <c r="B31" s="20">
        <f>(SUM(B23)-SUM(B15:B15))/SUM(B15:B15)</f>
        <v>-1</v>
      </c>
      <c r="C31" s="20">
        <f>(SUM($B$24:C24)-SUM($B$16:C16))/SUM($B$16:C16)</f>
        <v>0.13207547169811412</v>
      </c>
      <c r="D31" s="20">
        <f>(SUM($B$24:D24)-SUM($B$16:D16))/SUM($B$16:D16)</f>
        <v>5.7113091362350358E-3</v>
      </c>
      <c r="E31" s="20">
        <f>(SUM($B$24:E24)-SUM($B$16:E16))/SUM($B$16:E16)</f>
        <v>5.7113091362350358E-3</v>
      </c>
      <c r="F31" s="20">
        <f>(SUM($B$24:F24)-SUM($B$16:F16))/SUM($B$16:F16)</f>
        <v>5.7113091362350358E-3</v>
      </c>
      <c r="G31" s="20">
        <f>(SUM($B$24:G24)-SUM($B$16:G16))/SUM($B$16:G16)</f>
        <v>5.7113091362350358E-3</v>
      </c>
      <c r="H31" s="20"/>
      <c r="I31" s="20"/>
      <c r="J31" s="20"/>
      <c r="K31" s="20"/>
      <c r="L31" s="20"/>
      <c r="M31" s="59">
        <f>(M24-M16)/M16</f>
        <v>5.7113091362350358E-3</v>
      </c>
    </row>
    <row r="32" spans="1:19" ht="14" x14ac:dyDescent="0.3">
      <c r="A32" s="2" t="s">
        <v>18</v>
      </c>
      <c r="B32" s="20"/>
      <c r="C32" s="20"/>
      <c r="D32" s="20"/>
      <c r="E32" s="20"/>
      <c r="F32" s="20"/>
      <c r="G32" s="20"/>
      <c r="H32" s="20"/>
      <c r="I32" s="20"/>
      <c r="J32" s="20"/>
      <c r="K32" s="20"/>
      <c r="L32" s="20"/>
      <c r="M32" s="19">
        <f>M24/M16</f>
        <v>1.0057113091362351</v>
      </c>
    </row>
    <row r="33" spans="1:15" s="71" customFormat="1" ht="13.9" customHeight="1" x14ac:dyDescent="0.3">
      <c r="A33" s="68" t="s">
        <v>4</v>
      </c>
      <c r="B33" s="68"/>
      <c r="C33" s="69"/>
      <c r="D33" s="69"/>
      <c r="E33" s="69"/>
      <c r="F33" s="69"/>
      <c r="G33" s="69"/>
      <c r="H33" s="69"/>
      <c r="I33" s="69"/>
      <c r="J33" s="69"/>
      <c r="K33" s="69"/>
      <c r="L33" s="69"/>
      <c r="M33" s="70">
        <f>M24-M16</f>
        <v>0.54645781416881789</v>
      </c>
      <c r="O33" s="72"/>
    </row>
    <row r="34" spans="1:15" s="74" customFormat="1" ht="19.899999999999999" customHeight="1" x14ac:dyDescent="0.3">
      <c r="A34" s="73" t="s">
        <v>25</v>
      </c>
      <c r="M34" s="75">
        <f>MIRR(B27:L27,N4,N4)</f>
        <v>6.1208040882352543E-2</v>
      </c>
    </row>
    <row r="36" spans="1:15" x14ac:dyDescent="0.25">
      <c r="A36" s="54" t="s">
        <v>23</v>
      </c>
    </row>
    <row r="37" spans="1:15" x14ac:dyDescent="0.25">
      <c r="A37" s="54" t="s">
        <v>46</v>
      </c>
    </row>
    <row r="39" spans="1:15" x14ac:dyDescent="0.25">
      <c r="B39" t="s">
        <v>31</v>
      </c>
      <c r="C39" t="s">
        <v>32</v>
      </c>
      <c r="D39" t="s">
        <v>33</v>
      </c>
      <c r="E39" t="s">
        <v>34</v>
      </c>
      <c r="F39" t="s">
        <v>35</v>
      </c>
      <c r="G39" t="s">
        <v>36</v>
      </c>
    </row>
    <row r="40" spans="1:15" x14ac:dyDescent="0.25">
      <c r="A40" t="s">
        <v>37</v>
      </c>
      <c r="B40" s="76">
        <f>B28</f>
        <v>-85</v>
      </c>
      <c r="C40" s="76">
        <f>C28+B40</f>
        <v>11.2264150943397</v>
      </c>
      <c r="D40" s="76">
        <f>D28+C40</f>
        <v>0.54645781416881256</v>
      </c>
      <c r="E40" s="76">
        <f t="shared" ref="E40" si="7">E28+D40</f>
        <v>0.54645781416881256</v>
      </c>
      <c r="F40" s="76"/>
      <c r="G40" s="76"/>
    </row>
  </sheetData>
  <mergeCells count="2">
    <mergeCell ref="A1:N1"/>
    <mergeCell ref="C6:L6"/>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E3E42-D486-4A4B-B3F9-C004D6894D6C}">
  <dimension ref="A1:V40"/>
  <sheetViews>
    <sheetView topLeftCell="A24" workbookViewId="0">
      <selection activeCell="B12" sqref="B12"/>
    </sheetView>
  </sheetViews>
  <sheetFormatPr defaultRowHeight="12.5" x14ac:dyDescent="0.25"/>
  <cols>
    <col min="1" max="1" width="45.1796875" customWidth="1"/>
    <col min="2" max="2" width="15.7265625" customWidth="1"/>
    <col min="3" max="3" width="21.26953125" customWidth="1"/>
    <col min="4" max="10" width="13" customWidth="1"/>
    <col min="11" max="13" width="14.1796875" customWidth="1"/>
    <col min="14" max="14" width="13.81640625" customWidth="1"/>
    <col min="15" max="15" width="14.26953125" customWidth="1"/>
    <col min="16" max="16" width="3.26953125" customWidth="1"/>
    <col min="18" max="18" width="11.1796875" bestFit="1" customWidth="1"/>
    <col min="19" max="20" width="12.7265625" bestFit="1" customWidth="1"/>
  </cols>
  <sheetData>
    <row r="1" spans="1:22" ht="17.25" customHeight="1" x14ac:dyDescent="0.35">
      <c r="A1" s="84" t="s">
        <v>22</v>
      </c>
      <c r="B1" s="84"/>
      <c r="C1" s="85"/>
      <c r="D1" s="85"/>
      <c r="E1" s="85"/>
      <c r="F1" s="85"/>
      <c r="G1" s="85"/>
      <c r="H1" s="85"/>
      <c r="I1" s="85"/>
      <c r="J1" s="85"/>
      <c r="K1" s="85"/>
      <c r="L1" s="85"/>
      <c r="M1" s="86"/>
      <c r="N1" s="86"/>
      <c r="O1" s="5"/>
      <c r="P1" s="5"/>
      <c r="Q1" s="5"/>
      <c r="R1" s="5"/>
      <c r="S1" s="5"/>
      <c r="T1" s="5"/>
      <c r="U1" s="5"/>
      <c r="V1" s="5"/>
    </row>
    <row r="2" spans="1:22" ht="12.75" customHeight="1" x14ac:dyDescent="0.35">
      <c r="A2" s="3"/>
      <c r="B2" s="3"/>
      <c r="C2" s="4"/>
      <c r="D2" s="4"/>
      <c r="E2" s="4"/>
      <c r="F2" s="4"/>
      <c r="G2" s="4"/>
      <c r="H2" s="4"/>
      <c r="I2" s="4"/>
      <c r="J2" s="4"/>
      <c r="K2" s="4"/>
      <c r="L2" s="4"/>
      <c r="M2" s="4"/>
      <c r="N2" s="5"/>
      <c r="O2" s="5"/>
      <c r="P2" s="5"/>
      <c r="Q2" s="5"/>
      <c r="R2" s="5"/>
      <c r="S2" s="5"/>
      <c r="T2" s="5"/>
      <c r="U2" s="5"/>
      <c r="V2" s="5"/>
    </row>
    <row r="3" spans="1:22" x14ac:dyDescent="0.25">
      <c r="A3" s="5"/>
      <c r="B3" s="5"/>
      <c r="C3" s="5"/>
      <c r="D3" s="5"/>
      <c r="E3" s="55"/>
      <c r="F3" s="5"/>
      <c r="G3" s="5"/>
      <c r="H3" s="5"/>
      <c r="I3" s="5"/>
      <c r="J3" s="5"/>
      <c r="K3" s="5"/>
      <c r="L3" s="5"/>
      <c r="M3" s="5" t="s">
        <v>42</v>
      </c>
      <c r="N3" s="5">
        <v>30</v>
      </c>
      <c r="P3" s="5"/>
    </row>
    <row r="4" spans="1:22" ht="14" x14ac:dyDescent="0.3">
      <c r="A4" s="54" t="s">
        <v>52</v>
      </c>
      <c r="M4" s="14" t="s">
        <v>0</v>
      </c>
      <c r="N4" s="15">
        <v>0.06</v>
      </c>
      <c r="O4" s="7"/>
      <c r="P4" s="5"/>
    </row>
    <row r="5" spans="1:22" ht="10.5" customHeight="1" thickBot="1" x14ac:dyDescent="0.35">
      <c r="A5" s="8"/>
      <c r="B5" s="8"/>
      <c r="C5" s="6"/>
      <c r="D5" s="6"/>
      <c r="E5" s="6"/>
      <c r="F5" s="6"/>
      <c r="G5" s="6"/>
      <c r="H5" s="6"/>
      <c r="I5" s="6"/>
      <c r="J5" s="6"/>
      <c r="K5" s="6"/>
      <c r="L5" s="6"/>
      <c r="M5" s="6"/>
      <c r="N5" s="6"/>
      <c r="O5" s="6"/>
      <c r="P5" s="5"/>
    </row>
    <row r="6" spans="1:22" ht="14" x14ac:dyDescent="0.3">
      <c r="A6" s="16"/>
      <c r="B6" s="16"/>
      <c r="C6" s="82" t="s">
        <v>16</v>
      </c>
      <c r="D6" s="82"/>
      <c r="E6" s="82"/>
      <c r="F6" s="82"/>
      <c r="G6" s="82"/>
      <c r="H6" s="82"/>
      <c r="I6" s="82"/>
      <c r="J6" s="82"/>
      <c r="K6" s="82"/>
      <c r="L6" s="83"/>
      <c r="M6" s="18" t="s">
        <v>1</v>
      </c>
      <c r="O6" s="5"/>
    </row>
    <row r="7" spans="1:22" ht="14" x14ac:dyDescent="0.3">
      <c r="B7" s="62">
        <v>0</v>
      </c>
      <c r="C7" s="12">
        <v>1</v>
      </c>
      <c r="D7" s="12">
        <v>2</v>
      </c>
      <c r="E7" s="12">
        <v>3</v>
      </c>
      <c r="F7" s="12">
        <v>4</v>
      </c>
      <c r="G7" s="12">
        <v>5</v>
      </c>
      <c r="H7" s="12">
        <v>6</v>
      </c>
      <c r="I7" s="12">
        <v>7</v>
      </c>
      <c r="J7" s="12">
        <v>8</v>
      </c>
      <c r="K7" s="12">
        <v>9</v>
      </c>
      <c r="L7" s="12">
        <v>10</v>
      </c>
      <c r="M7" s="17" t="s">
        <v>2</v>
      </c>
      <c r="O7" s="5"/>
    </row>
    <row r="8" spans="1:22" ht="14" x14ac:dyDescent="0.3">
      <c r="A8" s="13" t="s">
        <v>27</v>
      </c>
      <c r="B8" s="13"/>
      <c r="C8" s="81" t="s">
        <v>39</v>
      </c>
      <c r="D8" s="81" t="s">
        <v>38</v>
      </c>
      <c r="E8" s="81"/>
      <c r="F8" s="1"/>
      <c r="G8" s="1"/>
      <c r="H8" s="1"/>
      <c r="I8" s="1"/>
      <c r="J8" s="1"/>
      <c r="K8" s="1"/>
      <c r="L8" s="1"/>
      <c r="O8" s="5"/>
    </row>
    <row r="9" spans="1:22" ht="14" x14ac:dyDescent="0.3">
      <c r="A9" s="34" t="s">
        <v>10</v>
      </c>
      <c r="B9" s="60">
        <v>85</v>
      </c>
      <c r="C9" s="21"/>
      <c r="D9" s="21"/>
      <c r="E9" s="21"/>
      <c r="F9" s="21"/>
      <c r="G9" s="21"/>
      <c r="H9" s="21"/>
      <c r="I9" s="21"/>
      <c r="J9" s="21"/>
      <c r="K9" s="21"/>
      <c r="L9" s="21"/>
      <c r="M9" s="26"/>
      <c r="O9" s="5"/>
      <c r="S9" s="9"/>
    </row>
    <row r="10" spans="1:22" ht="14" x14ac:dyDescent="0.3">
      <c r="A10" s="42" t="s">
        <v>21</v>
      </c>
      <c r="B10" s="61">
        <v>0</v>
      </c>
      <c r="C10" s="22"/>
      <c r="D10" s="22">
        <v>0</v>
      </c>
      <c r="E10" s="22"/>
      <c r="F10" s="22"/>
      <c r="G10" s="22"/>
      <c r="H10" s="22"/>
      <c r="I10" s="22"/>
      <c r="J10" s="22"/>
      <c r="K10" s="22"/>
      <c r="L10" s="22"/>
      <c r="M10" s="27"/>
      <c r="O10" s="5"/>
      <c r="Q10" s="11"/>
      <c r="S10" s="9"/>
    </row>
    <row r="11" spans="1:22" ht="14" x14ac:dyDescent="0.3">
      <c r="A11" s="42" t="s">
        <v>15</v>
      </c>
      <c r="B11" s="64"/>
      <c r="C11" s="25">
        <v>0</v>
      </c>
      <c r="D11" s="25">
        <v>0</v>
      </c>
      <c r="E11" s="25"/>
      <c r="F11" s="25"/>
      <c r="G11" s="25"/>
      <c r="H11" s="25"/>
      <c r="I11" s="25"/>
      <c r="J11" s="25"/>
      <c r="K11" s="25"/>
      <c r="L11" s="25"/>
      <c r="M11" s="27"/>
      <c r="O11" s="5"/>
      <c r="Q11" s="11"/>
      <c r="S11" s="9"/>
    </row>
    <row r="12" spans="1:22" ht="14" x14ac:dyDescent="0.3">
      <c r="A12" s="34" t="s">
        <v>50</v>
      </c>
      <c r="B12" s="60"/>
      <c r="C12" s="25"/>
      <c r="D12" s="25">
        <f>(C20-C19)*$N$3</f>
        <v>6.0000000000000053</v>
      </c>
      <c r="E12" s="25"/>
      <c r="F12" s="25"/>
      <c r="G12" s="25"/>
      <c r="H12" s="25"/>
      <c r="I12" s="25"/>
      <c r="J12" s="25"/>
      <c r="K12" s="25"/>
      <c r="L12" s="25"/>
      <c r="M12" s="27"/>
      <c r="O12" s="5"/>
      <c r="Q12" s="11"/>
      <c r="S12" s="9"/>
    </row>
    <row r="13" spans="1:22" ht="14" x14ac:dyDescent="0.3">
      <c r="A13" s="34" t="s">
        <v>9</v>
      </c>
      <c r="B13" s="60"/>
      <c r="C13" s="25"/>
      <c r="D13" s="25"/>
      <c r="E13" s="25"/>
      <c r="F13" s="25"/>
      <c r="G13" s="25"/>
      <c r="H13" s="25"/>
      <c r="I13" s="25"/>
      <c r="J13" s="25"/>
      <c r="K13" s="25"/>
      <c r="L13" s="25"/>
      <c r="M13" s="27"/>
      <c r="O13" s="5"/>
      <c r="Q13" s="11"/>
      <c r="S13" s="9"/>
    </row>
    <row r="14" spans="1:22" ht="14" x14ac:dyDescent="0.3">
      <c r="A14" s="36" t="s">
        <v>3</v>
      </c>
      <c r="B14" s="66">
        <f>SUM(B9:B13)</f>
        <v>85</v>
      </c>
      <c r="C14" s="23">
        <f>SUM(C9:C13)</f>
        <v>0</v>
      </c>
      <c r="D14" s="23">
        <f t="shared" ref="D14:G14" si="0">SUM(D9:D13)</f>
        <v>6.0000000000000053</v>
      </c>
      <c r="E14" s="23">
        <f>SUM(E9:E13)</f>
        <v>0</v>
      </c>
      <c r="F14" s="23">
        <f t="shared" si="0"/>
        <v>0</v>
      </c>
      <c r="G14" s="23">
        <f t="shared" si="0"/>
        <v>0</v>
      </c>
      <c r="H14" s="23"/>
      <c r="I14" s="23"/>
      <c r="J14" s="23"/>
      <c r="K14" s="23"/>
      <c r="L14" s="23"/>
      <c r="M14" s="57">
        <f>SUM(B14:L14)</f>
        <v>91</v>
      </c>
      <c r="O14" s="5"/>
      <c r="Q14" s="11"/>
      <c r="S14" s="9"/>
    </row>
    <row r="15" spans="1:22" ht="14" x14ac:dyDescent="0.3">
      <c r="A15" s="34" t="s">
        <v>5</v>
      </c>
      <c r="B15" s="65">
        <v>1</v>
      </c>
      <c r="C15" s="24">
        <f>1/(1+$N$4)^C7</f>
        <v>0.94339622641509424</v>
      </c>
      <c r="D15" s="24">
        <f>1/(1+$N$4)^D7</f>
        <v>0.88999644001423983</v>
      </c>
      <c r="E15" s="24"/>
      <c r="F15" s="24"/>
      <c r="G15" s="24"/>
      <c r="H15" s="24"/>
      <c r="I15" s="24"/>
      <c r="J15" s="24"/>
      <c r="K15" s="24"/>
      <c r="L15" s="24"/>
      <c r="M15" s="57"/>
      <c r="O15" s="5"/>
      <c r="Q15" s="11"/>
      <c r="S15" s="9"/>
    </row>
    <row r="16" spans="1:22" s="38" customFormat="1" ht="14" x14ac:dyDescent="0.3">
      <c r="A16" s="36" t="s">
        <v>6</v>
      </c>
      <c r="B16" s="63">
        <f>B14*B15</f>
        <v>85</v>
      </c>
      <c r="C16" s="56">
        <f>C14*C15</f>
        <v>0</v>
      </c>
      <c r="D16" s="56">
        <f t="shared" ref="D16:G16" si="1">D14*D15</f>
        <v>5.3399786400854437</v>
      </c>
      <c r="E16" s="56">
        <f t="shared" si="1"/>
        <v>0</v>
      </c>
      <c r="F16" s="56">
        <f t="shared" si="1"/>
        <v>0</v>
      </c>
      <c r="G16" s="56">
        <f t="shared" si="1"/>
        <v>0</v>
      </c>
      <c r="H16" s="56"/>
      <c r="I16" s="56"/>
      <c r="J16" s="56"/>
      <c r="K16" s="56"/>
      <c r="L16" s="56"/>
      <c r="M16" s="57">
        <f>SUM(B16:L16)</f>
        <v>90.339978640085448</v>
      </c>
      <c r="O16" s="39"/>
      <c r="Q16" s="40"/>
      <c r="S16" s="41"/>
    </row>
    <row r="17" spans="1:19" ht="14" x14ac:dyDescent="0.3">
      <c r="A17" s="34"/>
      <c r="B17" s="34"/>
      <c r="C17" s="28"/>
      <c r="D17" s="28"/>
      <c r="E17" s="28"/>
      <c r="F17" s="28"/>
      <c r="G17" s="28"/>
      <c r="H17" s="28"/>
      <c r="I17" s="28"/>
      <c r="J17" s="28"/>
      <c r="K17" s="28"/>
      <c r="L17" s="28"/>
      <c r="M17" s="26"/>
      <c r="O17" s="5"/>
      <c r="Q17" s="11"/>
      <c r="S17" s="9"/>
    </row>
    <row r="18" spans="1:19" ht="14" x14ac:dyDescent="0.3">
      <c r="A18" s="35" t="s">
        <v>28</v>
      </c>
      <c r="B18" s="35"/>
      <c r="C18" s="29"/>
      <c r="D18" s="29"/>
      <c r="E18" s="29"/>
      <c r="F18" s="29"/>
      <c r="G18" s="29"/>
      <c r="H18" s="29"/>
      <c r="I18" s="29"/>
      <c r="J18" s="29"/>
      <c r="K18" s="29"/>
      <c r="L18" s="29"/>
      <c r="M18" s="30"/>
      <c r="O18" s="5"/>
      <c r="Q18" s="11"/>
      <c r="S18" s="9"/>
    </row>
    <row r="19" spans="1:19" ht="14" x14ac:dyDescent="0.3">
      <c r="A19" s="34" t="s">
        <v>14</v>
      </c>
      <c r="B19" s="34"/>
      <c r="C19" s="43">
        <v>3.8</v>
      </c>
      <c r="D19" s="43">
        <v>4.9000000000000004</v>
      </c>
      <c r="E19" s="43"/>
      <c r="F19" s="43"/>
      <c r="G19" s="43"/>
      <c r="H19" s="43"/>
      <c r="I19" s="43"/>
      <c r="J19" s="43"/>
      <c r="K19" s="43"/>
      <c r="L19" s="43"/>
      <c r="M19" s="37">
        <f>SUM(C19:L19)</f>
        <v>8.6999999999999993</v>
      </c>
      <c r="O19" s="5"/>
      <c r="Q19" s="11"/>
      <c r="S19" s="9"/>
    </row>
    <row r="20" spans="1:19" ht="14" x14ac:dyDescent="0.3">
      <c r="A20" s="34" t="s">
        <v>13</v>
      </c>
      <c r="B20" s="34"/>
      <c r="C20" s="43">
        <v>4</v>
      </c>
      <c r="D20" s="43">
        <v>4.7</v>
      </c>
      <c r="E20" s="43"/>
      <c r="F20" s="43"/>
      <c r="G20" s="43"/>
      <c r="H20" s="43"/>
      <c r="I20" s="43"/>
      <c r="J20" s="43"/>
      <c r="K20" s="43"/>
      <c r="L20" s="43"/>
      <c r="M20" s="37">
        <f>SUM(C20:L20)</f>
        <v>8.6999999999999993</v>
      </c>
      <c r="O20" s="5"/>
      <c r="Q20" s="11"/>
      <c r="S20" s="9"/>
    </row>
    <row r="21" spans="1:19" ht="14" x14ac:dyDescent="0.3">
      <c r="A21" s="34" t="s">
        <v>30</v>
      </c>
      <c r="B21" s="34"/>
      <c r="C21" s="44">
        <v>255</v>
      </c>
      <c r="D21" s="44">
        <v>215</v>
      </c>
      <c r="E21" s="44"/>
      <c r="F21" s="44"/>
      <c r="G21" s="44"/>
      <c r="H21" s="44"/>
      <c r="I21" s="44"/>
      <c r="J21" s="44"/>
      <c r="K21" s="44"/>
      <c r="L21" s="44"/>
      <c r="M21" s="30"/>
      <c r="O21" s="5"/>
      <c r="Q21" s="11"/>
      <c r="S21" s="9"/>
    </row>
    <row r="22" spans="1:19" ht="14" x14ac:dyDescent="0.3">
      <c r="A22" s="34" t="s">
        <v>11</v>
      </c>
      <c r="B22" s="34"/>
      <c r="C22" s="29">
        <f>(C20-C19)*C21</f>
        <v>51.000000000000043</v>
      </c>
      <c r="D22" s="29">
        <f t="shared" ref="D22:G22" si="2">(D20-D19)*D21</f>
        <v>-43.000000000000036</v>
      </c>
      <c r="E22" s="29">
        <f t="shared" si="2"/>
        <v>0</v>
      </c>
      <c r="F22" s="29">
        <f t="shared" si="2"/>
        <v>0</v>
      </c>
      <c r="G22" s="29">
        <f t="shared" si="2"/>
        <v>0</v>
      </c>
      <c r="H22" s="29"/>
      <c r="I22" s="29"/>
      <c r="J22" s="29"/>
      <c r="K22" s="29"/>
      <c r="L22" s="29"/>
      <c r="M22" s="48">
        <f>SUM(C22:L22)</f>
        <v>8.0000000000000071</v>
      </c>
      <c r="O22" s="5"/>
      <c r="Q22" s="11"/>
      <c r="S22" s="9"/>
    </row>
    <row r="23" spans="1:19" ht="14" x14ac:dyDescent="0.3">
      <c r="A23" s="34"/>
      <c r="B23" s="34"/>
      <c r="C23" s="45"/>
      <c r="D23" s="45"/>
      <c r="E23" s="45"/>
      <c r="F23" s="45"/>
      <c r="G23" s="45"/>
      <c r="H23" s="45"/>
      <c r="I23" s="45"/>
      <c r="J23" s="45"/>
      <c r="K23" s="45"/>
      <c r="L23" s="45"/>
      <c r="M23" s="46"/>
      <c r="O23" s="5"/>
      <c r="Q23" s="11"/>
      <c r="S23" s="9"/>
    </row>
    <row r="24" spans="1:19" s="38" customFormat="1" ht="14" x14ac:dyDescent="0.3">
      <c r="A24" s="36" t="s">
        <v>26</v>
      </c>
      <c r="B24" s="36"/>
      <c r="C24" s="47">
        <f>C22*C15</f>
        <v>48.11320754716985</v>
      </c>
      <c r="D24" s="47">
        <f t="shared" ref="D24:G24" si="3">D22*D15</f>
        <v>-38.269846920612345</v>
      </c>
      <c r="E24" s="47">
        <f t="shared" si="3"/>
        <v>0</v>
      </c>
      <c r="F24" s="47">
        <f t="shared" si="3"/>
        <v>0</v>
      </c>
      <c r="G24" s="47">
        <f t="shared" si="3"/>
        <v>0</v>
      </c>
      <c r="H24" s="47"/>
      <c r="I24" s="47"/>
      <c r="J24" s="47"/>
      <c r="K24" s="47"/>
      <c r="L24" s="47"/>
      <c r="M24" s="48">
        <f>SUM(C24:L24)</f>
        <v>9.8433606265575051</v>
      </c>
      <c r="O24" s="39"/>
      <c r="Q24" s="40"/>
      <c r="S24" s="41"/>
    </row>
    <row r="25" spans="1:19" ht="14" x14ac:dyDescent="0.3">
      <c r="A25" s="1"/>
      <c r="B25" s="1"/>
      <c r="C25" s="28"/>
      <c r="D25" s="28"/>
      <c r="E25" s="28"/>
      <c r="F25" s="28"/>
      <c r="G25" s="28"/>
      <c r="H25" s="28"/>
      <c r="I25" s="28"/>
      <c r="J25" s="28"/>
      <c r="K25" s="28"/>
      <c r="L25" s="28"/>
      <c r="M25" s="30"/>
      <c r="O25" s="5"/>
      <c r="S25" s="9"/>
    </row>
    <row r="26" spans="1:19" ht="14" x14ac:dyDescent="0.3">
      <c r="A26" s="13" t="s">
        <v>8</v>
      </c>
      <c r="B26" s="13"/>
      <c r="C26" s="31"/>
      <c r="D26" s="31"/>
      <c r="E26" s="31"/>
      <c r="F26" s="31"/>
      <c r="G26" s="31"/>
      <c r="H26" s="31"/>
      <c r="I26" s="31"/>
      <c r="J26" s="31"/>
      <c r="K26" s="31"/>
      <c r="L26" s="31"/>
      <c r="M26" s="10"/>
      <c r="O26" s="5"/>
      <c r="R26" s="11"/>
    </row>
    <row r="27" spans="1:19" s="54" customFormat="1" ht="14" x14ac:dyDescent="0.3">
      <c r="A27" s="1" t="s">
        <v>7</v>
      </c>
      <c r="B27" s="32">
        <f>B22-B14</f>
        <v>-85</v>
      </c>
      <c r="C27" s="32">
        <f>C22-C14</f>
        <v>51.000000000000043</v>
      </c>
      <c r="D27" s="32">
        <f t="shared" ref="D27:G27" si="4">D22-D14</f>
        <v>-49.000000000000043</v>
      </c>
      <c r="E27" s="32">
        <f t="shared" si="4"/>
        <v>0</v>
      </c>
      <c r="F27" s="32">
        <f t="shared" si="4"/>
        <v>0</v>
      </c>
      <c r="G27" s="32">
        <f t="shared" si="4"/>
        <v>0</v>
      </c>
      <c r="H27" s="32"/>
      <c r="I27" s="32"/>
      <c r="J27" s="32"/>
      <c r="K27" s="32"/>
      <c r="L27" s="32"/>
      <c r="M27" s="79">
        <f>SUM(B27:L27)</f>
        <v>-83</v>
      </c>
      <c r="O27" s="55"/>
      <c r="R27" s="80"/>
    </row>
    <row r="28" spans="1:19" ht="14" x14ac:dyDescent="0.3">
      <c r="A28" s="2" t="s">
        <v>20</v>
      </c>
      <c r="B28" s="32">
        <f>B24-B16</f>
        <v>-85</v>
      </c>
      <c r="C28" s="32">
        <f>C24-C16</f>
        <v>48.11320754716985</v>
      </c>
      <c r="D28" s="32">
        <f t="shared" ref="D28:G28" si="5">D24-D16</f>
        <v>-43.609825560697786</v>
      </c>
      <c r="E28" s="32">
        <f t="shared" si="5"/>
        <v>0</v>
      </c>
      <c r="F28" s="32">
        <f t="shared" si="5"/>
        <v>0</v>
      </c>
      <c r="G28" s="32">
        <f t="shared" si="5"/>
        <v>0</v>
      </c>
      <c r="H28" s="32"/>
      <c r="I28" s="32"/>
      <c r="J28" s="32"/>
      <c r="K28" s="32"/>
      <c r="L28" s="32"/>
      <c r="M28" s="58">
        <f>SUM(B28:L28)</f>
        <v>-80.496618013527936</v>
      </c>
      <c r="O28" s="5"/>
      <c r="R28" s="11"/>
    </row>
    <row r="29" spans="1:19" ht="14" x14ac:dyDescent="0.3">
      <c r="A29" s="2" t="s">
        <v>19</v>
      </c>
      <c r="B29" s="32">
        <f>B28</f>
        <v>-85</v>
      </c>
      <c r="C29" s="32">
        <f>B28+C28</f>
        <v>-36.88679245283015</v>
      </c>
      <c r="D29" s="32">
        <f>D28+C29</f>
        <v>-80.496618013527936</v>
      </c>
      <c r="E29" s="32">
        <f t="shared" ref="E29:G29" si="6">E28+D29</f>
        <v>-80.496618013527936</v>
      </c>
      <c r="F29" s="32">
        <f t="shared" si="6"/>
        <v>-80.496618013527936</v>
      </c>
      <c r="G29" s="32">
        <f t="shared" si="6"/>
        <v>-80.496618013527936</v>
      </c>
      <c r="H29" s="32"/>
      <c r="I29" s="32"/>
      <c r="J29" s="32"/>
      <c r="K29" s="32"/>
      <c r="L29" s="32"/>
      <c r="M29" s="58"/>
      <c r="O29" s="5"/>
      <c r="R29" s="11"/>
    </row>
    <row r="30" spans="1:19" s="54" customFormat="1" ht="14" x14ac:dyDescent="0.3">
      <c r="A30" s="1" t="s">
        <v>17</v>
      </c>
      <c r="B30" s="77">
        <f>(SUM(B22)-SUM(B14:B14))/SUM(B14:B14)</f>
        <v>-1</v>
      </c>
      <c r="C30" s="77">
        <f>(SUM($B$22:C22)-SUM($B$14:C14))/SUM($B$14:C14)</f>
        <v>-0.39999999999999952</v>
      </c>
      <c r="D30" s="77">
        <f>(SUM($B$22:D22)-SUM($B$14:D14))/SUM($B$14:D14)</f>
        <v>-0.91208791208791207</v>
      </c>
      <c r="E30" s="77">
        <f>(SUM($B$22:E22)-SUM($B$14:E14))/SUM($B$14:E14)</f>
        <v>-0.91208791208791207</v>
      </c>
      <c r="F30" s="77">
        <f>(SUM($B$22:F22)-SUM($B$14:F14))/SUM($B$14:F14)</f>
        <v>-0.91208791208791207</v>
      </c>
      <c r="G30" s="77">
        <f>(SUM($B$22:G22)-SUM($B$14:G14))/SUM($B$14:G14)</f>
        <v>-0.91208791208791207</v>
      </c>
      <c r="H30" s="77"/>
      <c r="I30" s="77"/>
      <c r="J30" s="77"/>
      <c r="K30" s="77"/>
      <c r="L30" s="77"/>
      <c r="M30" s="78">
        <f>(M22-M14)/M14</f>
        <v>-0.91208791208791207</v>
      </c>
    </row>
    <row r="31" spans="1:19" ht="14" x14ac:dyDescent="0.3">
      <c r="A31" s="2" t="s">
        <v>29</v>
      </c>
      <c r="B31" s="20">
        <f>(SUM(B23)-SUM(B15:B15))/SUM(B15:B15)</f>
        <v>-1</v>
      </c>
      <c r="C31" s="20">
        <f>(SUM($B$24:C24)-SUM($B$16:C16))/SUM($B$16:C16)</f>
        <v>-0.43396226415094297</v>
      </c>
      <c r="D31" s="20">
        <f>(SUM($B$24:D24)-SUM($B$16:D16))/SUM($B$16:D16)</f>
        <v>-0.89104092368924004</v>
      </c>
      <c r="E31" s="20">
        <f>(SUM($B$24:E24)-SUM($B$16:E16))/SUM($B$16:E16)</f>
        <v>-0.89104092368924004</v>
      </c>
      <c r="F31" s="20">
        <f>(SUM($B$24:F24)-SUM($B$16:F16))/SUM($B$16:F16)</f>
        <v>-0.89104092368924004</v>
      </c>
      <c r="G31" s="20">
        <f>(SUM($B$24:G24)-SUM($B$16:G16))/SUM($B$16:G16)</f>
        <v>-0.89104092368924004</v>
      </c>
      <c r="H31" s="20"/>
      <c r="I31" s="20"/>
      <c r="J31" s="20"/>
      <c r="K31" s="20"/>
      <c r="L31" s="20"/>
      <c r="M31" s="59">
        <f>(M24-M16)/M16</f>
        <v>-0.89104092368924004</v>
      </c>
    </row>
    <row r="32" spans="1:19" ht="14" x14ac:dyDescent="0.3">
      <c r="A32" s="2" t="s">
        <v>18</v>
      </c>
      <c r="B32" s="20"/>
      <c r="C32" s="20"/>
      <c r="D32" s="20"/>
      <c r="E32" s="20"/>
      <c r="F32" s="20"/>
      <c r="G32" s="20"/>
      <c r="H32" s="20"/>
      <c r="I32" s="20"/>
      <c r="J32" s="20"/>
      <c r="K32" s="20"/>
      <c r="L32" s="20"/>
      <c r="M32" s="19">
        <f>M24/M16</f>
        <v>0.10895907631076007</v>
      </c>
    </row>
    <row r="33" spans="1:15" s="71" customFormat="1" ht="13.9" customHeight="1" x14ac:dyDescent="0.3">
      <c r="A33" s="68" t="s">
        <v>4</v>
      </c>
      <c r="B33" s="68"/>
      <c r="C33" s="69"/>
      <c r="D33" s="69"/>
      <c r="E33" s="69"/>
      <c r="F33" s="69"/>
      <c r="G33" s="69"/>
      <c r="H33" s="69"/>
      <c r="I33" s="69"/>
      <c r="J33" s="69"/>
      <c r="K33" s="69"/>
      <c r="L33" s="69"/>
      <c r="M33" s="70">
        <f>M24-M16</f>
        <v>-80.49661801352795</v>
      </c>
      <c r="O33" s="72"/>
    </row>
    <row r="34" spans="1:15" s="74" customFormat="1" ht="19.899999999999999" customHeight="1" x14ac:dyDescent="0.3">
      <c r="A34" s="73" t="s">
        <v>25</v>
      </c>
      <c r="M34" s="75">
        <f>MIRR(B27:L27,N4,N4)</f>
        <v>-0.12922911899631762</v>
      </c>
    </row>
    <row r="36" spans="1:15" x14ac:dyDescent="0.25">
      <c r="A36" s="54" t="s">
        <v>23</v>
      </c>
    </row>
    <row r="37" spans="1:15" x14ac:dyDescent="0.25">
      <c r="A37" s="54" t="s">
        <v>46</v>
      </c>
    </row>
    <row r="39" spans="1:15" x14ac:dyDescent="0.25">
      <c r="B39" t="s">
        <v>31</v>
      </c>
      <c r="C39" t="s">
        <v>32</v>
      </c>
      <c r="D39" t="s">
        <v>33</v>
      </c>
      <c r="E39" t="s">
        <v>34</v>
      </c>
      <c r="F39" t="s">
        <v>35</v>
      </c>
      <c r="G39" t="s">
        <v>36</v>
      </c>
    </row>
    <row r="40" spans="1:15" x14ac:dyDescent="0.25">
      <c r="A40" t="s">
        <v>37</v>
      </c>
      <c r="B40" s="76">
        <f>B28</f>
        <v>-85</v>
      </c>
      <c r="C40" s="76">
        <f>C28+B40</f>
        <v>-36.88679245283015</v>
      </c>
      <c r="D40" s="76">
        <f>D28+C40</f>
        <v>-80.496618013527936</v>
      </c>
      <c r="E40" s="76">
        <f t="shared" ref="E40" si="7">E28+D40</f>
        <v>-80.496618013527936</v>
      </c>
      <c r="F40" s="76"/>
      <c r="G40" s="76"/>
    </row>
  </sheetData>
  <mergeCells count="2">
    <mergeCell ref="A1:N1"/>
    <mergeCell ref="C6:L6"/>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0A886-D296-43C6-A0D4-02B7AE707202}">
  <dimension ref="A1:V40"/>
  <sheetViews>
    <sheetView topLeftCell="I19" workbookViewId="0">
      <selection activeCell="M34" sqref="M34"/>
    </sheetView>
  </sheetViews>
  <sheetFormatPr defaultRowHeight="12.5" x14ac:dyDescent="0.25"/>
  <cols>
    <col min="1" max="1" width="45.1796875" customWidth="1"/>
    <col min="2" max="2" width="15.7265625" customWidth="1"/>
    <col min="3" max="3" width="21.26953125" customWidth="1"/>
    <col min="4" max="10" width="13" customWidth="1"/>
    <col min="11" max="13" width="14.1796875" customWidth="1"/>
    <col min="14" max="14" width="13.81640625" customWidth="1"/>
    <col min="15" max="15" width="14.26953125" customWidth="1"/>
    <col min="16" max="16" width="3.26953125" customWidth="1"/>
    <col min="18" max="18" width="11.1796875" bestFit="1" customWidth="1"/>
    <col min="19" max="20" width="12.7265625" bestFit="1" customWidth="1"/>
  </cols>
  <sheetData>
    <row r="1" spans="1:22" ht="17.25" customHeight="1" x14ac:dyDescent="0.35">
      <c r="A1" s="84" t="s">
        <v>22</v>
      </c>
      <c r="B1" s="84"/>
      <c r="C1" s="85"/>
      <c r="D1" s="85"/>
      <c r="E1" s="85"/>
      <c r="F1" s="85"/>
      <c r="G1" s="85"/>
      <c r="H1" s="85"/>
      <c r="I1" s="85"/>
      <c r="J1" s="85"/>
      <c r="K1" s="85"/>
      <c r="L1" s="85"/>
      <c r="M1" s="86"/>
      <c r="N1" s="86"/>
      <c r="O1" s="5"/>
      <c r="P1" s="5"/>
      <c r="Q1" s="5"/>
      <c r="R1" s="5"/>
      <c r="S1" s="5"/>
      <c r="T1" s="5"/>
      <c r="U1" s="5"/>
      <c r="V1" s="5"/>
    </row>
    <row r="2" spans="1:22" ht="12.75" customHeight="1" x14ac:dyDescent="0.35">
      <c r="A2" s="3"/>
      <c r="B2" s="3"/>
      <c r="C2" s="4"/>
      <c r="D2" s="4"/>
      <c r="E2" s="4"/>
      <c r="F2" s="4"/>
      <c r="G2" s="4"/>
      <c r="H2" s="4"/>
      <c r="I2" s="4"/>
      <c r="J2" s="4"/>
      <c r="K2" s="4"/>
      <c r="L2" s="4"/>
      <c r="M2" s="4"/>
      <c r="N2" s="5"/>
      <c r="O2" s="5"/>
      <c r="P2" s="5"/>
      <c r="Q2" s="5"/>
      <c r="R2" s="5"/>
      <c r="S2" s="5"/>
      <c r="T2" s="5"/>
      <c r="U2" s="5"/>
      <c r="V2" s="5"/>
    </row>
    <row r="3" spans="1:22" x14ac:dyDescent="0.25">
      <c r="A3" s="5"/>
      <c r="B3" s="5"/>
      <c r="C3" s="5"/>
      <c r="D3" s="5"/>
      <c r="E3" s="55"/>
      <c r="F3" s="5"/>
      <c r="G3" s="5"/>
      <c r="H3" s="5"/>
      <c r="I3" s="5"/>
      <c r="J3" s="5"/>
      <c r="K3" s="5"/>
      <c r="L3" s="5"/>
      <c r="M3" s="5" t="s">
        <v>42</v>
      </c>
      <c r="N3" s="5">
        <v>30</v>
      </c>
      <c r="P3" s="5"/>
    </row>
    <row r="4" spans="1:22" ht="14" x14ac:dyDescent="0.3">
      <c r="A4" s="54" t="s">
        <v>53</v>
      </c>
      <c r="M4" s="14" t="s">
        <v>0</v>
      </c>
      <c r="N4" s="15">
        <v>0.06</v>
      </c>
      <c r="O4" s="7"/>
      <c r="P4" s="5"/>
    </row>
    <row r="5" spans="1:22" ht="10.5" customHeight="1" thickBot="1" x14ac:dyDescent="0.35">
      <c r="A5" s="8"/>
      <c r="B5" s="8"/>
      <c r="C5" s="6"/>
      <c r="D5" s="6"/>
      <c r="E5" s="6"/>
      <c r="F5" s="6"/>
      <c r="G5" s="6"/>
      <c r="H5" s="6"/>
      <c r="I5" s="6"/>
      <c r="J5" s="6"/>
      <c r="K5" s="6"/>
      <c r="L5" s="6"/>
      <c r="M5" s="6"/>
      <c r="N5" s="6"/>
      <c r="O5" s="6"/>
      <c r="P5" s="5"/>
    </row>
    <row r="6" spans="1:22" ht="14" x14ac:dyDescent="0.3">
      <c r="A6" s="16"/>
      <c r="B6" s="16"/>
      <c r="C6" s="82" t="s">
        <v>16</v>
      </c>
      <c r="D6" s="82"/>
      <c r="E6" s="82"/>
      <c r="F6" s="82"/>
      <c r="G6" s="82"/>
      <c r="H6" s="82"/>
      <c r="I6" s="82"/>
      <c r="J6" s="82"/>
      <c r="K6" s="82"/>
      <c r="L6" s="83"/>
      <c r="M6" s="18" t="s">
        <v>1</v>
      </c>
      <c r="O6" s="5"/>
    </row>
    <row r="7" spans="1:22" ht="14" x14ac:dyDescent="0.3">
      <c r="B7" s="62">
        <v>0</v>
      </c>
      <c r="C7" s="12">
        <v>1</v>
      </c>
      <c r="D7" s="12">
        <v>2</v>
      </c>
      <c r="E7" s="12">
        <v>3</v>
      </c>
      <c r="F7" s="12">
        <v>4</v>
      </c>
      <c r="G7" s="12">
        <v>5</v>
      </c>
      <c r="H7" s="12">
        <v>6</v>
      </c>
      <c r="I7" s="12">
        <v>7</v>
      </c>
      <c r="J7" s="12">
        <v>8</v>
      </c>
      <c r="K7" s="12">
        <v>9</v>
      </c>
      <c r="L7" s="12">
        <v>10</v>
      </c>
      <c r="M7" s="17" t="s">
        <v>2</v>
      </c>
      <c r="O7" s="5"/>
    </row>
    <row r="8" spans="1:22" ht="14" x14ac:dyDescent="0.3">
      <c r="A8" s="13" t="s">
        <v>27</v>
      </c>
      <c r="B8" s="13"/>
      <c r="C8" s="81" t="s">
        <v>39</v>
      </c>
      <c r="D8" s="81" t="s">
        <v>38</v>
      </c>
      <c r="E8" s="81"/>
      <c r="F8" s="1"/>
      <c r="G8" s="1"/>
      <c r="H8" s="1"/>
      <c r="I8" s="1"/>
      <c r="J8" s="1"/>
      <c r="K8" s="1"/>
      <c r="L8" s="1"/>
      <c r="O8" s="5"/>
    </row>
    <row r="9" spans="1:22" ht="14" x14ac:dyDescent="0.3">
      <c r="A9" s="34" t="s">
        <v>10</v>
      </c>
      <c r="B9" s="60">
        <v>85</v>
      </c>
      <c r="C9" s="21"/>
      <c r="D9" s="21"/>
      <c r="E9" s="21"/>
      <c r="F9" s="21"/>
      <c r="G9" s="21"/>
      <c r="H9" s="21"/>
      <c r="I9" s="21"/>
      <c r="J9" s="21"/>
      <c r="K9" s="21"/>
      <c r="L9" s="21"/>
      <c r="M9" s="26"/>
      <c r="O9" s="5"/>
      <c r="S9" s="9"/>
    </row>
    <row r="10" spans="1:22" ht="14" x14ac:dyDescent="0.3">
      <c r="A10" s="42" t="s">
        <v>21</v>
      </c>
      <c r="B10" s="61">
        <v>0</v>
      </c>
      <c r="C10" s="22"/>
      <c r="D10" s="22">
        <v>0</v>
      </c>
      <c r="E10" s="22"/>
      <c r="F10" s="22"/>
      <c r="G10" s="22"/>
      <c r="H10" s="22"/>
      <c r="I10" s="22"/>
      <c r="J10" s="22"/>
      <c r="K10" s="22"/>
      <c r="L10" s="22"/>
      <c r="M10" s="27"/>
      <c r="O10" s="5"/>
      <c r="Q10" s="11"/>
      <c r="S10" s="9"/>
    </row>
    <row r="11" spans="1:22" ht="14" x14ac:dyDescent="0.3">
      <c r="A11" s="42" t="s">
        <v>15</v>
      </c>
      <c r="B11" s="64"/>
      <c r="C11" s="25">
        <v>0</v>
      </c>
      <c r="D11" s="25">
        <v>0</v>
      </c>
      <c r="E11" s="25"/>
      <c r="F11" s="25"/>
      <c r="G11" s="25"/>
      <c r="H11" s="25"/>
      <c r="I11" s="25"/>
      <c r="J11" s="25"/>
      <c r="K11" s="25"/>
      <c r="L11" s="25"/>
      <c r="M11" s="27"/>
      <c r="O11" s="5"/>
      <c r="Q11" s="11"/>
      <c r="S11" s="9"/>
    </row>
    <row r="12" spans="1:22" ht="14" x14ac:dyDescent="0.3">
      <c r="A12" s="34" t="s">
        <v>50</v>
      </c>
      <c r="B12" s="60"/>
      <c r="C12" s="25"/>
      <c r="D12" s="25">
        <f>(C20-C19)*$N$3</f>
        <v>15</v>
      </c>
      <c r="E12" s="25"/>
      <c r="F12" s="25"/>
      <c r="G12" s="25"/>
      <c r="H12" s="25"/>
      <c r="I12" s="25"/>
      <c r="J12" s="25"/>
      <c r="K12" s="25"/>
      <c r="L12" s="25"/>
      <c r="M12" s="27"/>
      <c r="O12" s="5"/>
      <c r="Q12" s="11"/>
      <c r="S12" s="9"/>
    </row>
    <row r="13" spans="1:22" ht="14" x14ac:dyDescent="0.3">
      <c r="A13" s="34" t="s">
        <v>9</v>
      </c>
      <c r="B13" s="60"/>
      <c r="C13" s="25"/>
      <c r="D13" s="25"/>
      <c r="E13" s="25"/>
      <c r="F13" s="25"/>
      <c r="G13" s="25"/>
      <c r="H13" s="25"/>
      <c r="I13" s="25"/>
      <c r="J13" s="25"/>
      <c r="K13" s="25"/>
      <c r="L13" s="25"/>
      <c r="M13" s="27"/>
      <c r="O13" s="5"/>
      <c r="Q13" s="11"/>
      <c r="S13" s="9"/>
    </row>
    <row r="14" spans="1:22" ht="14" x14ac:dyDescent="0.3">
      <c r="A14" s="36" t="s">
        <v>3</v>
      </c>
      <c r="B14" s="66">
        <f>SUM(B9:B13)</f>
        <v>85</v>
      </c>
      <c r="C14" s="23">
        <f>SUM(C9:C13)</f>
        <v>0</v>
      </c>
      <c r="D14" s="23">
        <f t="shared" ref="D14:G14" si="0">SUM(D9:D13)</f>
        <v>15</v>
      </c>
      <c r="E14" s="23">
        <f>SUM(E9:E13)</f>
        <v>0</v>
      </c>
      <c r="F14" s="23">
        <f t="shared" si="0"/>
        <v>0</v>
      </c>
      <c r="G14" s="23">
        <f t="shared" si="0"/>
        <v>0</v>
      </c>
      <c r="H14" s="23"/>
      <c r="I14" s="23"/>
      <c r="J14" s="23"/>
      <c r="K14" s="23"/>
      <c r="L14" s="23"/>
      <c r="M14" s="57">
        <f>SUM(B14:L14)</f>
        <v>100</v>
      </c>
      <c r="O14" s="5"/>
      <c r="Q14" s="11"/>
      <c r="S14" s="9"/>
    </row>
    <row r="15" spans="1:22" ht="14" x14ac:dyDescent="0.3">
      <c r="A15" s="34" t="s">
        <v>5</v>
      </c>
      <c r="B15" s="65">
        <v>1</v>
      </c>
      <c r="C15" s="24">
        <f>1/(1+$N$4)^C7</f>
        <v>0.94339622641509424</v>
      </c>
      <c r="D15" s="24">
        <f>1/(1+$N$4)^D7</f>
        <v>0.88999644001423983</v>
      </c>
      <c r="E15" s="24"/>
      <c r="F15" s="24"/>
      <c r="G15" s="24"/>
      <c r="H15" s="24"/>
      <c r="I15" s="24"/>
      <c r="J15" s="24"/>
      <c r="K15" s="24"/>
      <c r="L15" s="24"/>
      <c r="M15" s="57"/>
      <c r="O15" s="5"/>
      <c r="Q15" s="11"/>
      <c r="S15" s="9"/>
    </row>
    <row r="16" spans="1:22" s="38" customFormat="1" ht="14" x14ac:dyDescent="0.3">
      <c r="A16" s="36" t="s">
        <v>6</v>
      </c>
      <c r="B16" s="63">
        <f>B14*B15</f>
        <v>85</v>
      </c>
      <c r="C16" s="56">
        <f>C14*C15</f>
        <v>0</v>
      </c>
      <c r="D16" s="56">
        <f t="shared" ref="D16:G16" si="1">D14*D15</f>
        <v>13.349946600213597</v>
      </c>
      <c r="E16" s="56">
        <f t="shared" si="1"/>
        <v>0</v>
      </c>
      <c r="F16" s="56">
        <f t="shared" si="1"/>
        <v>0</v>
      </c>
      <c r="G16" s="56">
        <f t="shared" si="1"/>
        <v>0</v>
      </c>
      <c r="H16" s="56"/>
      <c r="I16" s="56"/>
      <c r="J16" s="56"/>
      <c r="K16" s="56"/>
      <c r="L16" s="56"/>
      <c r="M16" s="57">
        <f>SUM(B16:L16)</f>
        <v>98.349946600213599</v>
      </c>
      <c r="O16" s="39"/>
      <c r="Q16" s="40"/>
      <c r="S16" s="41"/>
    </row>
    <row r="17" spans="1:19" ht="14" x14ac:dyDescent="0.3">
      <c r="A17" s="34"/>
      <c r="B17" s="34"/>
      <c r="C17" s="28"/>
      <c r="D17" s="28"/>
      <c r="E17" s="28"/>
      <c r="F17" s="28"/>
      <c r="G17" s="28"/>
      <c r="H17" s="28"/>
      <c r="I17" s="28"/>
      <c r="J17" s="28"/>
      <c r="K17" s="28"/>
      <c r="L17" s="28"/>
      <c r="M17" s="26"/>
      <c r="O17" s="5"/>
      <c r="Q17" s="11"/>
      <c r="S17" s="9"/>
    </row>
    <row r="18" spans="1:19" ht="14" x14ac:dyDescent="0.3">
      <c r="A18" s="35" t="s">
        <v>28</v>
      </c>
      <c r="B18" s="35"/>
      <c r="C18" s="29"/>
      <c r="D18" s="29"/>
      <c r="E18" s="29"/>
      <c r="F18" s="29"/>
      <c r="G18" s="29"/>
      <c r="H18" s="29"/>
      <c r="I18" s="29"/>
      <c r="J18" s="29"/>
      <c r="K18" s="29"/>
      <c r="L18" s="29"/>
      <c r="M18" s="30"/>
      <c r="O18" s="5"/>
      <c r="Q18" s="11"/>
      <c r="S18" s="9"/>
    </row>
    <row r="19" spans="1:19" ht="14" x14ac:dyDescent="0.3">
      <c r="A19" s="34" t="s">
        <v>14</v>
      </c>
      <c r="B19" s="34"/>
      <c r="C19" s="43">
        <v>3.8</v>
      </c>
      <c r="D19" s="43">
        <v>4.9000000000000004</v>
      </c>
      <c r="E19" s="43"/>
      <c r="F19" s="43"/>
      <c r="G19" s="43"/>
      <c r="H19" s="43"/>
      <c r="I19" s="43"/>
      <c r="J19" s="43"/>
      <c r="K19" s="43"/>
      <c r="L19" s="43"/>
      <c r="M19" s="37">
        <f>SUM(C19:L19)</f>
        <v>8.6999999999999993</v>
      </c>
      <c r="O19" s="5"/>
      <c r="Q19" s="11"/>
      <c r="S19" s="9"/>
    </row>
    <row r="20" spans="1:19" ht="14" x14ac:dyDescent="0.3">
      <c r="A20" s="34" t="s">
        <v>13</v>
      </c>
      <c r="B20" s="34"/>
      <c r="C20" s="43">
        <v>4.3</v>
      </c>
      <c r="D20" s="43">
        <v>4.8</v>
      </c>
      <c r="E20" s="43"/>
      <c r="F20" s="43"/>
      <c r="G20" s="43"/>
      <c r="H20" s="43"/>
      <c r="I20" s="43"/>
      <c r="J20" s="43"/>
      <c r="K20" s="43"/>
      <c r="L20" s="43"/>
      <c r="M20" s="37">
        <f>SUM(C20:L20)</f>
        <v>9.1</v>
      </c>
      <c r="O20" s="5"/>
      <c r="Q20" s="11"/>
      <c r="S20" s="9"/>
    </row>
    <row r="21" spans="1:19" ht="14" x14ac:dyDescent="0.3">
      <c r="A21" s="34" t="s">
        <v>30</v>
      </c>
      <c r="B21" s="34"/>
      <c r="C21" s="44">
        <v>255</v>
      </c>
      <c r="D21" s="44">
        <v>215</v>
      </c>
      <c r="E21" s="44"/>
      <c r="F21" s="44"/>
      <c r="G21" s="44"/>
      <c r="H21" s="44"/>
      <c r="I21" s="44"/>
      <c r="J21" s="44"/>
      <c r="K21" s="44"/>
      <c r="L21" s="44"/>
      <c r="M21" s="30"/>
      <c r="O21" s="5"/>
      <c r="Q21" s="11"/>
      <c r="S21" s="9"/>
    </row>
    <row r="22" spans="1:19" ht="14" x14ac:dyDescent="0.3">
      <c r="A22" s="34" t="s">
        <v>11</v>
      </c>
      <c r="B22" s="34"/>
      <c r="C22" s="29">
        <f>(C20-C19)*C21</f>
        <v>127.5</v>
      </c>
      <c r="D22" s="29">
        <f t="shared" ref="D22:G22" si="2">(D20-D19)*D21</f>
        <v>-21.500000000000114</v>
      </c>
      <c r="E22" s="29">
        <f t="shared" si="2"/>
        <v>0</v>
      </c>
      <c r="F22" s="29">
        <f t="shared" si="2"/>
        <v>0</v>
      </c>
      <c r="G22" s="29">
        <f t="shared" si="2"/>
        <v>0</v>
      </c>
      <c r="H22" s="29"/>
      <c r="I22" s="29"/>
      <c r="J22" s="29"/>
      <c r="K22" s="29"/>
      <c r="L22" s="29"/>
      <c r="M22" s="48">
        <f>SUM(C22:L22)</f>
        <v>105.99999999999989</v>
      </c>
      <c r="O22" s="5"/>
      <c r="Q22" s="11"/>
      <c r="S22" s="9"/>
    </row>
    <row r="23" spans="1:19" ht="14" x14ac:dyDescent="0.3">
      <c r="A23" s="34"/>
      <c r="B23" s="34"/>
      <c r="C23" s="45"/>
      <c r="D23" s="45"/>
      <c r="E23" s="45"/>
      <c r="F23" s="45"/>
      <c r="G23" s="45"/>
      <c r="H23" s="45"/>
      <c r="I23" s="45"/>
      <c r="J23" s="45"/>
      <c r="K23" s="45"/>
      <c r="L23" s="45"/>
      <c r="M23" s="46"/>
      <c r="O23" s="5"/>
      <c r="Q23" s="11"/>
      <c r="S23" s="9"/>
    </row>
    <row r="24" spans="1:19" s="38" customFormat="1" ht="14" x14ac:dyDescent="0.3">
      <c r="A24" s="36" t="s">
        <v>26</v>
      </c>
      <c r="B24" s="36"/>
      <c r="C24" s="47">
        <f>C22*C15</f>
        <v>120.28301886792451</v>
      </c>
      <c r="D24" s="47">
        <f t="shared" ref="D24:G24" si="3">D22*D15</f>
        <v>-19.134923460306258</v>
      </c>
      <c r="E24" s="47">
        <f t="shared" si="3"/>
        <v>0</v>
      </c>
      <c r="F24" s="47">
        <f t="shared" si="3"/>
        <v>0</v>
      </c>
      <c r="G24" s="47">
        <f t="shared" si="3"/>
        <v>0</v>
      </c>
      <c r="H24" s="47"/>
      <c r="I24" s="47"/>
      <c r="J24" s="47"/>
      <c r="K24" s="47"/>
      <c r="L24" s="47"/>
      <c r="M24" s="48">
        <f>SUM(C24:L24)</f>
        <v>101.14809540761826</v>
      </c>
      <c r="O24" s="39"/>
      <c r="Q24" s="40"/>
      <c r="S24" s="41"/>
    </row>
    <row r="25" spans="1:19" ht="14" x14ac:dyDescent="0.3">
      <c r="A25" s="1"/>
      <c r="B25" s="1"/>
      <c r="C25" s="28"/>
      <c r="D25" s="28"/>
      <c r="E25" s="28"/>
      <c r="F25" s="28"/>
      <c r="G25" s="28"/>
      <c r="H25" s="28"/>
      <c r="I25" s="28"/>
      <c r="J25" s="28"/>
      <c r="K25" s="28"/>
      <c r="L25" s="28"/>
      <c r="M25" s="30"/>
      <c r="O25" s="5"/>
      <c r="S25" s="9"/>
    </row>
    <row r="26" spans="1:19" ht="14" x14ac:dyDescent="0.3">
      <c r="A26" s="13" t="s">
        <v>8</v>
      </c>
      <c r="B26" s="13"/>
      <c r="C26" s="31"/>
      <c r="D26" s="31"/>
      <c r="E26" s="31"/>
      <c r="F26" s="31"/>
      <c r="G26" s="31"/>
      <c r="H26" s="31"/>
      <c r="I26" s="31"/>
      <c r="J26" s="31"/>
      <c r="K26" s="31"/>
      <c r="L26" s="31"/>
      <c r="M26" s="10"/>
      <c r="O26" s="5"/>
      <c r="R26" s="11"/>
    </row>
    <row r="27" spans="1:19" s="54" customFormat="1" ht="14" x14ac:dyDescent="0.3">
      <c r="A27" s="1" t="s">
        <v>7</v>
      </c>
      <c r="B27" s="32">
        <f>B22-B14</f>
        <v>-85</v>
      </c>
      <c r="C27" s="32">
        <f>C22-C14</f>
        <v>127.5</v>
      </c>
      <c r="D27" s="32">
        <f t="shared" ref="D27:G27" si="4">D22-D14</f>
        <v>-36.500000000000114</v>
      </c>
      <c r="E27" s="32">
        <f t="shared" si="4"/>
        <v>0</v>
      </c>
      <c r="F27" s="32">
        <f t="shared" si="4"/>
        <v>0</v>
      </c>
      <c r="G27" s="32">
        <f t="shared" si="4"/>
        <v>0</v>
      </c>
      <c r="H27" s="32"/>
      <c r="I27" s="32"/>
      <c r="J27" s="32"/>
      <c r="K27" s="32"/>
      <c r="L27" s="32"/>
      <c r="M27" s="79">
        <f>SUM(B27:L27)</f>
        <v>5.9999999999998863</v>
      </c>
      <c r="O27" s="55"/>
      <c r="R27" s="80"/>
    </row>
    <row r="28" spans="1:19" ht="14" x14ac:dyDescent="0.3">
      <c r="A28" s="2" t="s">
        <v>20</v>
      </c>
      <c r="B28" s="32">
        <f>B24-B16</f>
        <v>-85</v>
      </c>
      <c r="C28" s="32">
        <f>C24-C16</f>
        <v>120.28301886792451</v>
      </c>
      <c r="D28" s="32">
        <f t="shared" ref="D28:G28" si="5">D24-D16</f>
        <v>-32.484870060519853</v>
      </c>
      <c r="E28" s="32">
        <f t="shared" si="5"/>
        <v>0</v>
      </c>
      <c r="F28" s="32">
        <f t="shared" si="5"/>
        <v>0</v>
      </c>
      <c r="G28" s="32">
        <f t="shared" si="5"/>
        <v>0</v>
      </c>
      <c r="H28" s="32"/>
      <c r="I28" s="32"/>
      <c r="J28" s="32"/>
      <c r="K28" s="32"/>
      <c r="L28" s="32"/>
      <c r="M28" s="58">
        <f>SUM(B28:L28)</f>
        <v>2.7981488074046581</v>
      </c>
      <c r="O28" s="5"/>
      <c r="R28" s="11"/>
    </row>
    <row r="29" spans="1:19" ht="14" x14ac:dyDescent="0.3">
      <c r="A29" s="2" t="s">
        <v>19</v>
      </c>
      <c r="B29" s="32">
        <f>B28</f>
        <v>-85</v>
      </c>
      <c r="C29" s="32">
        <f>B28+C28</f>
        <v>35.283018867924511</v>
      </c>
      <c r="D29" s="32">
        <f>D28+C29</f>
        <v>2.7981488074046581</v>
      </c>
      <c r="E29" s="32">
        <f t="shared" ref="E29:G29" si="6">E28+D29</f>
        <v>2.7981488074046581</v>
      </c>
      <c r="F29" s="32">
        <f t="shared" si="6"/>
        <v>2.7981488074046581</v>
      </c>
      <c r="G29" s="32">
        <f t="shared" si="6"/>
        <v>2.7981488074046581</v>
      </c>
      <c r="H29" s="32"/>
      <c r="I29" s="32"/>
      <c r="J29" s="32"/>
      <c r="K29" s="32"/>
      <c r="L29" s="32"/>
      <c r="M29" s="58"/>
      <c r="O29" s="5"/>
      <c r="R29" s="11"/>
    </row>
    <row r="30" spans="1:19" s="54" customFormat="1" ht="14" x14ac:dyDescent="0.3">
      <c r="A30" s="1" t="s">
        <v>17</v>
      </c>
      <c r="B30" s="77">
        <f>(SUM(B22)-SUM(B14:B14))/SUM(B14:B14)</f>
        <v>-1</v>
      </c>
      <c r="C30" s="77">
        <f>(SUM($B$22:C22)-SUM($B$14:C14))/SUM($B$14:C14)</f>
        <v>0.5</v>
      </c>
      <c r="D30" s="77">
        <f>(SUM($B$22:D22)-SUM($B$14:D14))/SUM($B$14:D14)</f>
        <v>5.999999999999886E-2</v>
      </c>
      <c r="E30" s="77">
        <f>(SUM($B$22:E22)-SUM($B$14:E14))/SUM($B$14:E14)</f>
        <v>5.999999999999886E-2</v>
      </c>
      <c r="F30" s="77">
        <f>(SUM($B$22:F22)-SUM($B$14:F14))/SUM($B$14:F14)</f>
        <v>5.999999999999886E-2</v>
      </c>
      <c r="G30" s="77">
        <f>(SUM($B$22:G22)-SUM($B$14:G14))/SUM($B$14:G14)</f>
        <v>5.999999999999886E-2</v>
      </c>
      <c r="H30" s="77"/>
      <c r="I30" s="77"/>
      <c r="J30" s="77"/>
      <c r="K30" s="77"/>
      <c r="L30" s="77"/>
      <c r="M30" s="78">
        <f>(M22-M14)/M14</f>
        <v>5.999999999999886E-2</v>
      </c>
    </row>
    <row r="31" spans="1:19" ht="14" x14ac:dyDescent="0.3">
      <c r="A31" s="2" t="s">
        <v>29</v>
      </c>
      <c r="B31" s="20">
        <f>(SUM(B23)-SUM(B15:B15))/SUM(B15:B15)</f>
        <v>-1</v>
      </c>
      <c r="C31" s="20">
        <f>(SUM($B$24:C24)-SUM($B$16:C16))/SUM($B$16:C16)</f>
        <v>0.41509433962264131</v>
      </c>
      <c r="D31" s="20">
        <f>(SUM($B$24:D24)-SUM($B$16:D16))/SUM($B$16:D16)</f>
        <v>2.8450943840152336E-2</v>
      </c>
      <c r="E31" s="20">
        <f>(SUM($B$24:E24)-SUM($B$16:E16))/SUM($B$16:E16)</f>
        <v>2.8450943840152336E-2</v>
      </c>
      <c r="F31" s="20">
        <f>(SUM($B$24:F24)-SUM($B$16:F16))/SUM($B$16:F16)</f>
        <v>2.8450943840152336E-2</v>
      </c>
      <c r="G31" s="20">
        <f>(SUM($B$24:G24)-SUM($B$16:G16))/SUM($B$16:G16)</f>
        <v>2.8450943840152336E-2</v>
      </c>
      <c r="H31" s="20"/>
      <c r="I31" s="20"/>
      <c r="J31" s="20"/>
      <c r="K31" s="20"/>
      <c r="L31" s="20"/>
      <c r="M31" s="59">
        <f>(M24-M16)/M16</f>
        <v>2.8450943840152336E-2</v>
      </c>
    </row>
    <row r="32" spans="1:19" ht="14" x14ac:dyDescent="0.3">
      <c r="A32" s="2" t="s">
        <v>18</v>
      </c>
      <c r="B32" s="20"/>
      <c r="C32" s="20"/>
      <c r="D32" s="20"/>
      <c r="E32" s="20"/>
      <c r="F32" s="20"/>
      <c r="G32" s="20"/>
      <c r="H32" s="20"/>
      <c r="I32" s="20"/>
      <c r="J32" s="20"/>
      <c r="K32" s="20"/>
      <c r="L32" s="20"/>
      <c r="M32" s="19">
        <f>M24/M16</f>
        <v>1.0284509438401523</v>
      </c>
    </row>
    <row r="33" spans="1:15" s="71" customFormat="1" ht="13.9" customHeight="1" x14ac:dyDescent="0.3">
      <c r="A33" s="68" t="s">
        <v>4</v>
      </c>
      <c r="B33" s="68"/>
      <c r="C33" s="69"/>
      <c r="D33" s="69"/>
      <c r="E33" s="69"/>
      <c r="F33" s="69"/>
      <c r="G33" s="69"/>
      <c r="H33" s="69"/>
      <c r="I33" s="69"/>
      <c r="J33" s="69"/>
      <c r="K33" s="69"/>
      <c r="L33" s="69"/>
      <c r="M33" s="70">
        <f>M24-M16</f>
        <v>2.7981488074046581</v>
      </c>
      <c r="O33" s="72"/>
    </row>
    <row r="34" spans="1:15" s="74" customFormat="1" ht="19.899999999999999" customHeight="1" x14ac:dyDescent="0.3">
      <c r="A34" s="73" t="s">
        <v>25</v>
      </c>
      <c r="M34" s="75">
        <f>MIRR(B27:L27,N4,N4)</f>
        <v>6.5001798027512381E-2</v>
      </c>
    </row>
    <row r="36" spans="1:15" x14ac:dyDescent="0.25">
      <c r="A36" s="54" t="s">
        <v>23</v>
      </c>
    </row>
    <row r="37" spans="1:15" x14ac:dyDescent="0.25">
      <c r="A37" s="54" t="s">
        <v>46</v>
      </c>
    </row>
    <row r="39" spans="1:15" x14ac:dyDescent="0.25">
      <c r="B39" t="s">
        <v>31</v>
      </c>
      <c r="C39" t="s">
        <v>32</v>
      </c>
      <c r="D39" t="s">
        <v>33</v>
      </c>
      <c r="E39" t="s">
        <v>34</v>
      </c>
      <c r="F39" t="s">
        <v>35</v>
      </c>
      <c r="G39" t="s">
        <v>36</v>
      </c>
    </row>
    <row r="40" spans="1:15" x14ac:dyDescent="0.25">
      <c r="A40" t="s">
        <v>37</v>
      </c>
      <c r="B40" s="76">
        <f>B28</f>
        <v>-85</v>
      </c>
      <c r="C40" s="76">
        <f>C28+B40</f>
        <v>35.283018867924511</v>
      </c>
      <c r="D40" s="76">
        <f>D28+C40</f>
        <v>2.7981488074046581</v>
      </c>
      <c r="E40" s="76">
        <f t="shared" ref="E40" si="7">E28+D40</f>
        <v>2.7981488074046581</v>
      </c>
      <c r="F40" s="76"/>
      <c r="G40" s="76"/>
    </row>
  </sheetData>
  <mergeCells count="2">
    <mergeCell ref="A1:N1"/>
    <mergeCell ref="C6:L6"/>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7492D-274D-406D-AE55-7C1B9FDF020B}">
  <dimension ref="A1:V40"/>
  <sheetViews>
    <sheetView topLeftCell="A42" workbookViewId="0">
      <selection activeCell="A32" sqref="A32:XFD34"/>
    </sheetView>
  </sheetViews>
  <sheetFormatPr defaultRowHeight="12.5" x14ac:dyDescent="0.25"/>
  <cols>
    <col min="1" max="1" width="45.1796875" customWidth="1"/>
    <col min="2" max="2" width="15.7265625" customWidth="1"/>
    <col min="3" max="3" width="21.26953125" customWidth="1"/>
    <col min="4" max="10" width="13" customWidth="1"/>
    <col min="11" max="13" width="14.1796875" customWidth="1"/>
    <col min="14" max="14" width="13.81640625" customWidth="1"/>
    <col min="15" max="15" width="14.26953125" customWidth="1"/>
    <col min="16" max="16" width="3.26953125" customWidth="1"/>
    <col min="18" max="18" width="11.1796875" bestFit="1" customWidth="1"/>
    <col min="19" max="20" width="12.7265625" bestFit="1" customWidth="1"/>
  </cols>
  <sheetData>
    <row r="1" spans="1:22" ht="17.25" customHeight="1" x14ac:dyDescent="0.35">
      <c r="A1" s="84" t="s">
        <v>22</v>
      </c>
      <c r="B1" s="84"/>
      <c r="C1" s="85"/>
      <c r="D1" s="85"/>
      <c r="E1" s="85"/>
      <c r="F1" s="85"/>
      <c r="G1" s="85"/>
      <c r="H1" s="85"/>
      <c r="I1" s="85"/>
      <c r="J1" s="85"/>
      <c r="K1" s="85"/>
      <c r="L1" s="85"/>
      <c r="M1" s="86"/>
      <c r="N1" s="86"/>
      <c r="O1" s="5"/>
      <c r="P1" s="5"/>
      <c r="Q1" s="5"/>
      <c r="R1" s="5"/>
      <c r="S1" s="5"/>
      <c r="T1" s="5"/>
      <c r="U1" s="5"/>
      <c r="V1" s="5"/>
    </row>
    <row r="2" spans="1:22" ht="12.75" customHeight="1" x14ac:dyDescent="0.35">
      <c r="A2" s="3"/>
      <c r="B2" s="3"/>
      <c r="C2" s="4"/>
      <c r="D2" s="4"/>
      <c r="E2" s="4"/>
      <c r="F2" s="4"/>
      <c r="G2" s="4"/>
      <c r="H2" s="4"/>
      <c r="I2" s="4"/>
      <c r="J2" s="4"/>
      <c r="K2" s="4"/>
      <c r="L2" s="4"/>
      <c r="M2" s="4"/>
      <c r="N2" s="5"/>
      <c r="O2" s="5"/>
      <c r="P2" s="5"/>
      <c r="Q2" s="5"/>
      <c r="R2" s="5"/>
      <c r="S2" s="5"/>
      <c r="T2" s="5"/>
      <c r="U2" s="5"/>
      <c r="V2" s="5"/>
    </row>
    <row r="3" spans="1:22" x14ac:dyDescent="0.25">
      <c r="A3" s="5"/>
      <c r="B3" s="5"/>
      <c r="C3" s="5"/>
      <c r="D3" s="5"/>
      <c r="E3" s="55"/>
      <c r="F3" s="5"/>
      <c r="G3" s="5"/>
      <c r="H3" s="5"/>
      <c r="I3" s="5"/>
      <c r="J3" s="5"/>
      <c r="K3" s="5"/>
      <c r="L3" s="5"/>
      <c r="M3" s="5" t="s">
        <v>42</v>
      </c>
      <c r="N3" s="5">
        <v>30</v>
      </c>
      <c r="P3" s="5"/>
    </row>
    <row r="4" spans="1:22" ht="14" x14ac:dyDescent="0.3">
      <c r="A4" s="54" t="s">
        <v>54</v>
      </c>
      <c r="M4" s="14" t="s">
        <v>0</v>
      </c>
      <c r="N4" s="15">
        <v>0.06</v>
      </c>
      <c r="O4" s="7"/>
      <c r="P4" s="5"/>
    </row>
    <row r="5" spans="1:22" ht="10.5" customHeight="1" thickBot="1" x14ac:dyDescent="0.35">
      <c r="A5" s="8"/>
      <c r="B5" s="8"/>
      <c r="C5" s="6"/>
      <c r="D5" s="6"/>
      <c r="E5" s="6"/>
      <c r="F5" s="6"/>
      <c r="G5" s="6"/>
      <c r="H5" s="6"/>
      <c r="I5" s="6"/>
      <c r="J5" s="6"/>
      <c r="K5" s="6"/>
      <c r="L5" s="6"/>
      <c r="M5" s="6"/>
      <c r="N5" s="6"/>
      <c r="O5" s="6"/>
      <c r="P5" s="5"/>
    </row>
    <row r="6" spans="1:22" ht="14" x14ac:dyDescent="0.3">
      <c r="A6" s="16"/>
      <c r="B6" s="16"/>
      <c r="C6" s="82" t="s">
        <v>16</v>
      </c>
      <c r="D6" s="82"/>
      <c r="E6" s="82"/>
      <c r="F6" s="82"/>
      <c r="G6" s="82"/>
      <c r="H6" s="82"/>
      <c r="I6" s="82"/>
      <c r="J6" s="82"/>
      <c r="K6" s="82"/>
      <c r="L6" s="83"/>
      <c r="M6" s="18" t="s">
        <v>1</v>
      </c>
      <c r="O6" s="5"/>
    </row>
    <row r="7" spans="1:22" ht="14" x14ac:dyDescent="0.3">
      <c r="B7" s="62">
        <v>0</v>
      </c>
      <c r="C7" s="12">
        <v>1</v>
      </c>
      <c r="D7" s="12">
        <v>2</v>
      </c>
      <c r="E7" s="12">
        <v>3</v>
      </c>
      <c r="F7" s="12">
        <v>4</v>
      </c>
      <c r="G7" s="12">
        <v>5</v>
      </c>
      <c r="H7" s="12">
        <v>6</v>
      </c>
      <c r="I7" s="12">
        <v>7</v>
      </c>
      <c r="J7" s="12">
        <v>8</v>
      </c>
      <c r="K7" s="12">
        <v>9</v>
      </c>
      <c r="L7" s="12">
        <v>10</v>
      </c>
      <c r="M7" s="17" t="s">
        <v>2</v>
      </c>
      <c r="O7" s="5"/>
    </row>
    <row r="8" spans="1:22" ht="14" x14ac:dyDescent="0.3">
      <c r="A8" s="13" t="s">
        <v>27</v>
      </c>
      <c r="B8" s="13"/>
      <c r="C8" s="81" t="s">
        <v>38</v>
      </c>
      <c r="D8" s="81" t="s">
        <v>39</v>
      </c>
      <c r="E8" s="81" t="s">
        <v>38</v>
      </c>
      <c r="F8" s="1"/>
      <c r="G8" s="1"/>
      <c r="H8" s="1"/>
      <c r="I8" s="1"/>
      <c r="J8" s="1"/>
      <c r="K8" s="1"/>
      <c r="L8" s="1"/>
      <c r="O8" s="5"/>
    </row>
    <row r="9" spans="1:22" ht="14" x14ac:dyDescent="0.3">
      <c r="A9" s="34" t="s">
        <v>10</v>
      </c>
      <c r="B9" s="60">
        <v>65</v>
      </c>
      <c r="C9" s="21"/>
      <c r="D9" s="21"/>
      <c r="E9" s="21"/>
      <c r="F9" s="21"/>
      <c r="G9" s="21"/>
      <c r="H9" s="21"/>
      <c r="I9" s="21"/>
      <c r="J9" s="21"/>
      <c r="K9" s="21"/>
      <c r="L9" s="21"/>
      <c r="M9" s="26"/>
      <c r="O9" s="5"/>
      <c r="S9" s="9"/>
    </row>
    <row r="10" spans="1:22" ht="14" x14ac:dyDescent="0.3">
      <c r="A10" s="42" t="s">
        <v>21</v>
      </c>
      <c r="B10" s="61">
        <v>0</v>
      </c>
      <c r="C10" s="22"/>
      <c r="D10" s="22">
        <v>0</v>
      </c>
      <c r="E10" s="22"/>
      <c r="F10" s="22"/>
      <c r="G10" s="22"/>
      <c r="H10" s="22"/>
      <c r="I10" s="22"/>
      <c r="J10" s="22"/>
      <c r="K10" s="22"/>
      <c r="L10" s="22"/>
      <c r="M10" s="27"/>
      <c r="O10" s="5"/>
      <c r="Q10" s="11"/>
      <c r="S10" s="9"/>
    </row>
    <row r="11" spans="1:22" ht="14" x14ac:dyDescent="0.3">
      <c r="A11" s="42" t="s">
        <v>15</v>
      </c>
      <c r="B11" s="64"/>
      <c r="C11" s="25">
        <v>0</v>
      </c>
      <c r="D11" s="25">
        <v>0</v>
      </c>
      <c r="E11" s="25"/>
      <c r="F11" s="25"/>
      <c r="G11" s="25"/>
      <c r="H11" s="25"/>
      <c r="I11" s="25"/>
      <c r="J11" s="25"/>
      <c r="K11" s="25"/>
      <c r="L11" s="25"/>
      <c r="M11" s="27"/>
      <c r="O11" s="5"/>
      <c r="Q11" s="11"/>
      <c r="S11" s="9"/>
    </row>
    <row r="12" spans="1:22" ht="14" x14ac:dyDescent="0.3">
      <c r="A12" s="34" t="s">
        <v>50</v>
      </c>
      <c r="B12" s="60"/>
      <c r="C12" s="25"/>
      <c r="D12" s="25">
        <f>(C20-C19)*$N$3</f>
        <v>12.899999999999999</v>
      </c>
      <c r="E12" s="25"/>
      <c r="F12" s="25"/>
      <c r="G12" s="25"/>
      <c r="H12" s="25"/>
      <c r="I12" s="25"/>
      <c r="J12" s="25"/>
      <c r="K12" s="25"/>
      <c r="L12" s="25"/>
      <c r="M12" s="27"/>
      <c r="O12" s="5"/>
      <c r="Q12" s="11"/>
      <c r="S12" s="9"/>
    </row>
    <row r="13" spans="1:22" ht="14" x14ac:dyDescent="0.3">
      <c r="A13" s="34" t="s">
        <v>9</v>
      </c>
      <c r="B13" s="60"/>
      <c r="C13" s="25"/>
      <c r="D13" s="25"/>
      <c r="E13" s="25"/>
      <c r="F13" s="25"/>
      <c r="G13" s="25"/>
      <c r="H13" s="25"/>
      <c r="I13" s="25"/>
      <c r="J13" s="25"/>
      <c r="K13" s="25"/>
      <c r="L13" s="25"/>
      <c r="M13" s="27"/>
      <c r="O13" s="5"/>
      <c r="Q13" s="11"/>
      <c r="S13" s="9"/>
    </row>
    <row r="14" spans="1:22" ht="14" x14ac:dyDescent="0.3">
      <c r="A14" s="36" t="s">
        <v>3</v>
      </c>
      <c r="B14" s="66">
        <f>SUM(B9:B13)</f>
        <v>65</v>
      </c>
      <c r="C14" s="23">
        <f>SUM(C9:C13)</f>
        <v>0</v>
      </c>
      <c r="D14" s="23">
        <f t="shared" ref="D14:G14" si="0">SUM(D9:D13)</f>
        <v>12.899999999999999</v>
      </c>
      <c r="E14" s="23">
        <f>SUM(E9:E13)</f>
        <v>0</v>
      </c>
      <c r="F14" s="23">
        <f t="shared" si="0"/>
        <v>0</v>
      </c>
      <c r="G14" s="23">
        <f t="shared" si="0"/>
        <v>0</v>
      </c>
      <c r="H14" s="23"/>
      <c r="I14" s="23"/>
      <c r="J14" s="23"/>
      <c r="K14" s="23"/>
      <c r="L14" s="23"/>
      <c r="M14" s="57">
        <f>SUM(B14:L14)</f>
        <v>77.900000000000006</v>
      </c>
      <c r="O14" s="5"/>
      <c r="Q14" s="11"/>
      <c r="S14" s="9"/>
    </row>
    <row r="15" spans="1:22" ht="14" x14ac:dyDescent="0.3">
      <c r="A15" s="34" t="s">
        <v>5</v>
      </c>
      <c r="B15" s="65">
        <v>1</v>
      </c>
      <c r="C15" s="24">
        <f>1/(1+$N$4)^C7</f>
        <v>0.94339622641509424</v>
      </c>
      <c r="D15" s="24">
        <f>1/(1+$N$4)^D7</f>
        <v>0.88999644001423983</v>
      </c>
      <c r="E15" s="24"/>
      <c r="F15" s="24"/>
      <c r="G15" s="24"/>
      <c r="H15" s="24"/>
      <c r="I15" s="24"/>
      <c r="J15" s="24"/>
      <c r="K15" s="24"/>
      <c r="L15" s="24"/>
      <c r="M15" s="57"/>
      <c r="O15" s="5"/>
      <c r="Q15" s="11"/>
      <c r="S15" s="9"/>
    </row>
    <row r="16" spans="1:22" s="38" customFormat="1" ht="14" x14ac:dyDescent="0.3">
      <c r="A16" s="36" t="s">
        <v>6</v>
      </c>
      <c r="B16" s="63">
        <f>B14*B15</f>
        <v>65</v>
      </c>
      <c r="C16" s="56">
        <f>C14*C15</f>
        <v>0</v>
      </c>
      <c r="D16" s="56">
        <f t="shared" ref="D16:G16" si="1">D14*D15</f>
        <v>11.480954076183693</v>
      </c>
      <c r="E16" s="56">
        <f t="shared" si="1"/>
        <v>0</v>
      </c>
      <c r="F16" s="56">
        <f t="shared" si="1"/>
        <v>0</v>
      </c>
      <c r="G16" s="56">
        <f t="shared" si="1"/>
        <v>0</v>
      </c>
      <c r="H16" s="56"/>
      <c r="I16" s="56"/>
      <c r="J16" s="56"/>
      <c r="K16" s="56"/>
      <c r="L16" s="56"/>
      <c r="M16" s="57">
        <f>SUM(B16:L16)</f>
        <v>76.480954076183693</v>
      </c>
      <c r="O16" s="39"/>
      <c r="Q16" s="40"/>
      <c r="S16" s="41"/>
    </row>
    <row r="17" spans="1:19" ht="14" x14ac:dyDescent="0.3">
      <c r="A17" s="34"/>
      <c r="B17" s="34"/>
      <c r="C17" s="28"/>
      <c r="D17" s="28"/>
      <c r="E17" s="28"/>
      <c r="F17" s="28"/>
      <c r="G17" s="28"/>
      <c r="H17" s="28"/>
      <c r="I17" s="28"/>
      <c r="J17" s="28"/>
      <c r="K17" s="28"/>
      <c r="L17" s="28"/>
      <c r="M17" s="26"/>
      <c r="O17" s="5"/>
      <c r="Q17" s="11"/>
      <c r="S17" s="9"/>
    </row>
    <row r="18" spans="1:19" ht="14" x14ac:dyDescent="0.3">
      <c r="A18" s="35" t="s">
        <v>28</v>
      </c>
      <c r="B18" s="35"/>
      <c r="C18" s="29"/>
      <c r="D18" s="29"/>
      <c r="E18" s="29"/>
      <c r="F18" s="29"/>
      <c r="G18" s="29"/>
      <c r="H18" s="29"/>
      <c r="I18" s="29"/>
      <c r="J18" s="29"/>
      <c r="K18" s="29"/>
      <c r="L18" s="29"/>
      <c r="M18" s="30"/>
      <c r="O18" s="5"/>
      <c r="Q18" s="11"/>
      <c r="S18" s="9"/>
    </row>
    <row r="19" spans="1:19" ht="14" x14ac:dyDescent="0.3">
      <c r="A19" s="34" t="s">
        <v>14</v>
      </c>
      <c r="B19" s="34"/>
      <c r="C19" s="43">
        <v>0.55000000000000004</v>
      </c>
      <c r="D19" s="43">
        <v>1.05</v>
      </c>
      <c r="E19" s="43"/>
      <c r="F19" s="43"/>
      <c r="G19" s="43"/>
      <c r="H19" s="43"/>
      <c r="I19" s="43"/>
      <c r="J19" s="43"/>
      <c r="K19" s="43"/>
      <c r="L19" s="43"/>
      <c r="M19" s="37">
        <f>SUM(C19:L19)</f>
        <v>1.6</v>
      </c>
      <c r="O19" s="5"/>
      <c r="Q19" s="11"/>
      <c r="S19" s="9"/>
    </row>
    <row r="20" spans="1:19" ht="14" x14ac:dyDescent="0.3">
      <c r="A20" s="34" t="s">
        <v>13</v>
      </c>
      <c r="B20" s="34"/>
      <c r="C20" s="43">
        <v>0.98</v>
      </c>
      <c r="D20" s="43">
        <v>1.04</v>
      </c>
      <c r="E20" s="43"/>
      <c r="F20" s="43"/>
      <c r="G20" s="43"/>
      <c r="H20" s="43"/>
      <c r="I20" s="43"/>
      <c r="J20" s="43"/>
      <c r="K20" s="43"/>
      <c r="L20" s="43"/>
      <c r="M20" s="37">
        <f>SUM(C20:L20)</f>
        <v>2.02</v>
      </c>
      <c r="O20" s="5"/>
      <c r="Q20" s="11"/>
      <c r="S20" s="9"/>
    </row>
    <row r="21" spans="1:19" ht="14" x14ac:dyDescent="0.3">
      <c r="A21" s="34" t="s">
        <v>30</v>
      </c>
      <c r="B21" s="34"/>
      <c r="C21" s="44">
        <v>215</v>
      </c>
      <c r="D21" s="44">
        <v>255</v>
      </c>
      <c r="E21" s="44"/>
      <c r="F21" s="44"/>
      <c r="G21" s="44"/>
      <c r="H21" s="44"/>
      <c r="I21" s="44"/>
      <c r="J21" s="44"/>
      <c r="K21" s="44"/>
      <c r="L21" s="44"/>
      <c r="M21" s="30"/>
      <c r="O21" s="5"/>
      <c r="Q21" s="11"/>
      <c r="S21" s="9"/>
    </row>
    <row r="22" spans="1:19" ht="14" x14ac:dyDescent="0.3">
      <c r="A22" s="34" t="s">
        <v>11</v>
      </c>
      <c r="B22" s="34"/>
      <c r="C22" s="29">
        <f>(C20-C19)*C21</f>
        <v>92.449999999999989</v>
      </c>
      <c r="D22" s="29">
        <f t="shared" ref="D22:G22" si="2">(D20-D19)*D21</f>
        <v>-2.5500000000000025</v>
      </c>
      <c r="E22" s="29">
        <f t="shared" si="2"/>
        <v>0</v>
      </c>
      <c r="F22" s="29">
        <f t="shared" si="2"/>
        <v>0</v>
      </c>
      <c r="G22" s="29">
        <f t="shared" si="2"/>
        <v>0</v>
      </c>
      <c r="H22" s="29"/>
      <c r="I22" s="29"/>
      <c r="J22" s="29"/>
      <c r="K22" s="29"/>
      <c r="L22" s="29"/>
      <c r="M22" s="48">
        <f>SUM(C22:L22)</f>
        <v>89.899999999999991</v>
      </c>
      <c r="O22" s="5"/>
      <c r="Q22" s="11"/>
      <c r="S22" s="9"/>
    </row>
    <row r="23" spans="1:19" ht="14" x14ac:dyDescent="0.3">
      <c r="A23" s="34"/>
      <c r="B23" s="34"/>
      <c r="C23" s="45"/>
      <c r="D23" s="45"/>
      <c r="E23" s="45"/>
      <c r="F23" s="45"/>
      <c r="G23" s="45"/>
      <c r="H23" s="45"/>
      <c r="I23" s="45"/>
      <c r="J23" s="45"/>
      <c r="K23" s="45"/>
      <c r="L23" s="45"/>
      <c r="M23" s="46"/>
      <c r="O23" s="5"/>
      <c r="Q23" s="11"/>
      <c r="S23" s="9"/>
    </row>
    <row r="24" spans="1:19" s="38" customFormat="1" ht="14" x14ac:dyDescent="0.3">
      <c r="A24" s="36" t="s">
        <v>26</v>
      </c>
      <c r="B24" s="36"/>
      <c r="C24" s="47">
        <f>C22*C15</f>
        <v>87.216981132075446</v>
      </c>
      <c r="D24" s="47">
        <f t="shared" ref="D24:G24" si="3">D22*D15</f>
        <v>-2.2694909220363138</v>
      </c>
      <c r="E24" s="47">
        <f t="shared" si="3"/>
        <v>0</v>
      </c>
      <c r="F24" s="47">
        <f t="shared" si="3"/>
        <v>0</v>
      </c>
      <c r="G24" s="47">
        <f t="shared" si="3"/>
        <v>0</v>
      </c>
      <c r="H24" s="47"/>
      <c r="I24" s="47"/>
      <c r="J24" s="47"/>
      <c r="K24" s="47"/>
      <c r="L24" s="47"/>
      <c r="M24" s="48">
        <f>SUM(C24:L24)</f>
        <v>84.947490210039135</v>
      </c>
      <c r="O24" s="39"/>
      <c r="Q24" s="40"/>
      <c r="S24" s="41"/>
    </row>
    <row r="25" spans="1:19" ht="14" x14ac:dyDescent="0.3">
      <c r="A25" s="1"/>
      <c r="B25" s="1"/>
      <c r="C25" s="28"/>
      <c r="D25" s="28"/>
      <c r="E25" s="28"/>
      <c r="F25" s="28"/>
      <c r="G25" s="28"/>
      <c r="H25" s="28"/>
      <c r="I25" s="28"/>
      <c r="J25" s="28"/>
      <c r="K25" s="28"/>
      <c r="L25" s="28"/>
      <c r="M25" s="30"/>
      <c r="O25" s="5"/>
      <c r="S25" s="9"/>
    </row>
    <row r="26" spans="1:19" ht="14" x14ac:dyDescent="0.3">
      <c r="A26" s="13" t="s">
        <v>8</v>
      </c>
      <c r="B26" s="13"/>
      <c r="C26" s="31"/>
      <c r="D26" s="31"/>
      <c r="E26" s="31"/>
      <c r="F26" s="31"/>
      <c r="G26" s="31"/>
      <c r="H26" s="31"/>
      <c r="I26" s="31"/>
      <c r="J26" s="31"/>
      <c r="K26" s="31"/>
      <c r="L26" s="31"/>
      <c r="M26" s="10"/>
      <c r="O26" s="5"/>
      <c r="R26" s="11"/>
    </row>
    <row r="27" spans="1:19" s="54" customFormat="1" ht="14" x14ac:dyDescent="0.3">
      <c r="A27" s="1" t="s">
        <v>7</v>
      </c>
      <c r="B27" s="32">
        <f>B22-B14</f>
        <v>-65</v>
      </c>
      <c r="C27" s="32">
        <f>C22-C14</f>
        <v>92.449999999999989</v>
      </c>
      <c r="D27" s="32">
        <f t="shared" ref="D27:G27" si="4">D22-D14</f>
        <v>-15.450000000000001</v>
      </c>
      <c r="E27" s="32">
        <f t="shared" si="4"/>
        <v>0</v>
      </c>
      <c r="F27" s="32">
        <f t="shared" si="4"/>
        <v>0</v>
      </c>
      <c r="G27" s="32">
        <f t="shared" si="4"/>
        <v>0</v>
      </c>
      <c r="H27" s="32"/>
      <c r="I27" s="32"/>
      <c r="J27" s="32"/>
      <c r="K27" s="32"/>
      <c r="L27" s="32"/>
      <c r="M27" s="79">
        <f>SUM(B27:L27)</f>
        <v>11.999999999999988</v>
      </c>
      <c r="O27" s="55"/>
      <c r="R27" s="80"/>
    </row>
    <row r="28" spans="1:19" ht="14" x14ac:dyDescent="0.3">
      <c r="A28" s="2" t="s">
        <v>20</v>
      </c>
      <c r="B28" s="32">
        <f>B24-B16</f>
        <v>-65</v>
      </c>
      <c r="C28" s="32">
        <f>C24-C16</f>
        <v>87.216981132075446</v>
      </c>
      <c r="D28" s="32">
        <f t="shared" ref="D28:G28" si="5">D24-D16</f>
        <v>-13.750444998220006</v>
      </c>
      <c r="E28" s="32">
        <f t="shared" si="5"/>
        <v>0</v>
      </c>
      <c r="F28" s="32">
        <f t="shared" si="5"/>
        <v>0</v>
      </c>
      <c r="G28" s="32">
        <f t="shared" si="5"/>
        <v>0</v>
      </c>
      <c r="H28" s="32"/>
      <c r="I28" s="32"/>
      <c r="J28" s="32"/>
      <c r="K28" s="32"/>
      <c r="L28" s="32"/>
      <c r="M28" s="58">
        <f>SUM(B28:L28)</f>
        <v>8.4665361338554401</v>
      </c>
      <c r="O28" s="5"/>
      <c r="R28" s="11"/>
    </row>
    <row r="29" spans="1:19" ht="14" x14ac:dyDescent="0.3">
      <c r="A29" s="2" t="s">
        <v>19</v>
      </c>
      <c r="B29" s="32">
        <f>B28</f>
        <v>-65</v>
      </c>
      <c r="C29" s="32">
        <f>B28+C28</f>
        <v>22.216981132075446</v>
      </c>
      <c r="D29" s="32">
        <f>D28+C29</f>
        <v>8.4665361338554401</v>
      </c>
      <c r="E29" s="32">
        <f t="shared" ref="E29:G29" si="6">E28+D29</f>
        <v>8.4665361338554401</v>
      </c>
      <c r="F29" s="32">
        <f t="shared" si="6"/>
        <v>8.4665361338554401</v>
      </c>
      <c r="G29" s="32">
        <f t="shared" si="6"/>
        <v>8.4665361338554401</v>
      </c>
      <c r="H29" s="32"/>
      <c r="I29" s="32"/>
      <c r="J29" s="32"/>
      <c r="K29" s="32"/>
      <c r="L29" s="32"/>
      <c r="M29" s="58"/>
      <c r="O29" s="5"/>
      <c r="R29" s="11"/>
    </row>
    <row r="30" spans="1:19" s="54" customFormat="1" ht="14" x14ac:dyDescent="0.3">
      <c r="A30" s="1" t="s">
        <v>17</v>
      </c>
      <c r="B30" s="77">
        <f>(SUM(B22)-SUM(B14:B14))/SUM(B14:B14)</f>
        <v>-1</v>
      </c>
      <c r="C30" s="77">
        <f>(SUM($B$22:C22)-SUM($B$14:C14))/SUM($B$14:C14)</f>
        <v>0.42230769230769211</v>
      </c>
      <c r="D30" s="77">
        <f>(SUM($B$22:D22)-SUM($B$14:D14))/SUM($B$14:D14)</f>
        <v>0.15404364569961471</v>
      </c>
      <c r="E30" s="77">
        <f>(SUM($B$22:E22)-SUM($B$14:E14))/SUM($B$14:E14)</f>
        <v>0.15404364569961471</v>
      </c>
      <c r="F30" s="77">
        <f>(SUM($B$22:F22)-SUM($B$14:F14))/SUM($B$14:F14)</f>
        <v>0.15404364569961471</v>
      </c>
      <c r="G30" s="77">
        <f>(SUM($B$22:G22)-SUM($B$14:G14))/SUM($B$14:G14)</f>
        <v>0.15404364569961471</v>
      </c>
      <c r="H30" s="77"/>
      <c r="I30" s="77"/>
      <c r="J30" s="77"/>
      <c r="K30" s="77"/>
      <c r="L30" s="77"/>
      <c r="M30" s="78">
        <f>(M22-M14)/M14</f>
        <v>0.15404364569961471</v>
      </c>
    </row>
    <row r="31" spans="1:19" ht="14" x14ac:dyDescent="0.3">
      <c r="A31" s="2" t="s">
        <v>29</v>
      </c>
      <c r="B31" s="20">
        <f>(SUM(B23)-SUM(B15:B15))/SUM(B15:B15)</f>
        <v>-1</v>
      </c>
      <c r="C31" s="20">
        <f>(SUM($B$24:C24)-SUM($B$16:C16))/SUM($B$16:C16)</f>
        <v>0.34179970972423762</v>
      </c>
      <c r="D31" s="20">
        <f>(SUM($B$24:D24)-SUM($B$16:D16))/SUM($B$16:D16)</f>
        <v>0.11070123583214996</v>
      </c>
      <c r="E31" s="20">
        <f>(SUM($B$24:E24)-SUM($B$16:E16))/SUM($B$16:E16)</f>
        <v>0.11070123583214996</v>
      </c>
      <c r="F31" s="20">
        <f>(SUM($B$24:F24)-SUM($B$16:F16))/SUM($B$16:F16)</f>
        <v>0.11070123583214996</v>
      </c>
      <c r="G31" s="20">
        <f>(SUM($B$24:G24)-SUM($B$16:G16))/SUM($B$16:G16)</f>
        <v>0.11070123583214996</v>
      </c>
      <c r="H31" s="20"/>
      <c r="I31" s="20"/>
      <c r="J31" s="20"/>
      <c r="K31" s="20"/>
      <c r="L31" s="20"/>
      <c r="M31" s="59">
        <f>(M24-M16)/M16</f>
        <v>0.11070123583214996</v>
      </c>
    </row>
    <row r="32" spans="1:19" ht="14" x14ac:dyDescent="0.3">
      <c r="A32" s="2" t="s">
        <v>18</v>
      </c>
      <c r="B32" s="20"/>
      <c r="C32" s="20"/>
      <c r="D32" s="20"/>
      <c r="E32" s="20"/>
      <c r="F32" s="20"/>
      <c r="G32" s="20"/>
      <c r="H32" s="20"/>
      <c r="I32" s="20"/>
      <c r="J32" s="20"/>
      <c r="K32" s="20"/>
      <c r="L32" s="20"/>
      <c r="M32" s="19">
        <f>M24/M16</f>
        <v>1.11070123583215</v>
      </c>
    </row>
    <row r="33" spans="1:15" s="71" customFormat="1" ht="13.9" customHeight="1" x14ac:dyDescent="0.3">
      <c r="A33" s="68" t="s">
        <v>4</v>
      </c>
      <c r="B33" s="68"/>
      <c r="C33" s="69"/>
      <c r="D33" s="69"/>
      <c r="E33" s="69"/>
      <c r="F33" s="69"/>
      <c r="G33" s="69"/>
      <c r="H33" s="69"/>
      <c r="I33" s="69"/>
      <c r="J33" s="69"/>
      <c r="K33" s="69"/>
      <c r="L33" s="69"/>
      <c r="M33" s="70">
        <f>M24-M16</f>
        <v>8.4665361338554419</v>
      </c>
      <c r="O33" s="72"/>
    </row>
    <row r="34" spans="1:15" s="74" customFormat="1" ht="19.899999999999999" customHeight="1" x14ac:dyDescent="0.3">
      <c r="A34" s="73" t="s">
        <v>25</v>
      </c>
      <c r="M34" s="75">
        <f>MIRR(B27:L27,N4,N4)</f>
        <v>8.1870981301966683E-2</v>
      </c>
    </row>
    <row r="36" spans="1:15" x14ac:dyDescent="0.25">
      <c r="A36" s="54" t="s">
        <v>23</v>
      </c>
    </row>
    <row r="37" spans="1:15" x14ac:dyDescent="0.25">
      <c r="A37" s="54" t="s">
        <v>46</v>
      </c>
    </row>
    <row r="39" spans="1:15" x14ac:dyDescent="0.25">
      <c r="B39" t="s">
        <v>31</v>
      </c>
      <c r="C39" t="s">
        <v>32</v>
      </c>
      <c r="D39" t="s">
        <v>33</v>
      </c>
      <c r="E39" t="s">
        <v>34</v>
      </c>
      <c r="F39" t="s">
        <v>35</v>
      </c>
      <c r="G39" t="s">
        <v>36</v>
      </c>
    </row>
    <row r="40" spans="1:15" x14ac:dyDescent="0.25">
      <c r="A40" t="s">
        <v>37</v>
      </c>
      <c r="B40" s="76">
        <f>B28</f>
        <v>-65</v>
      </c>
      <c r="C40" s="76">
        <f>C28+B40</f>
        <v>22.216981132075446</v>
      </c>
      <c r="D40" s="76">
        <f>D28+C40</f>
        <v>8.4665361338554401</v>
      </c>
      <c r="E40" s="76">
        <f t="shared" ref="E40" si="7">E28+D40</f>
        <v>8.4665361338554401</v>
      </c>
      <c r="F40" s="76"/>
      <c r="G40" s="76"/>
    </row>
  </sheetData>
  <mergeCells count="2">
    <mergeCell ref="A1:N1"/>
    <mergeCell ref="C6:L6"/>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023DF-2F0A-4F6B-9854-3978FCAFCB07}">
  <dimension ref="A1:V40"/>
  <sheetViews>
    <sheetView topLeftCell="B46" workbookViewId="0">
      <selection activeCell="A7" sqref="A7"/>
    </sheetView>
  </sheetViews>
  <sheetFormatPr defaultRowHeight="12.5" x14ac:dyDescent="0.25"/>
  <cols>
    <col min="1" max="1" width="45.1796875" customWidth="1"/>
    <col min="2" max="2" width="15.7265625" customWidth="1"/>
    <col min="3" max="3" width="21.26953125" customWidth="1"/>
    <col min="4" max="10" width="13" customWidth="1"/>
    <col min="11" max="13" width="14.1796875" customWidth="1"/>
    <col min="14" max="14" width="13.81640625" customWidth="1"/>
    <col min="15" max="15" width="14.26953125" customWidth="1"/>
    <col min="16" max="16" width="3.26953125" customWidth="1"/>
    <col min="18" max="18" width="11.1796875" bestFit="1" customWidth="1"/>
    <col min="19" max="20" width="12.7265625" bestFit="1" customWidth="1"/>
  </cols>
  <sheetData>
    <row r="1" spans="1:22" ht="17.25" customHeight="1" x14ac:dyDescent="0.35">
      <c r="A1" s="84" t="s">
        <v>22</v>
      </c>
      <c r="B1" s="84"/>
      <c r="C1" s="85"/>
      <c r="D1" s="85"/>
      <c r="E1" s="85"/>
      <c r="F1" s="85"/>
      <c r="G1" s="85"/>
      <c r="H1" s="85"/>
      <c r="I1" s="85"/>
      <c r="J1" s="85"/>
      <c r="K1" s="85"/>
      <c r="L1" s="85"/>
      <c r="M1" s="86"/>
      <c r="N1" s="86"/>
      <c r="O1" s="5"/>
      <c r="P1" s="5"/>
      <c r="Q1" s="5"/>
      <c r="R1" s="5"/>
      <c r="S1" s="5"/>
      <c r="T1" s="5"/>
      <c r="U1" s="5"/>
      <c r="V1" s="5"/>
    </row>
    <row r="2" spans="1:22" ht="12.75" customHeight="1" x14ac:dyDescent="0.35">
      <c r="A2" s="3"/>
      <c r="B2" s="3"/>
      <c r="C2" s="4"/>
      <c r="D2" s="4"/>
      <c r="E2" s="4"/>
      <c r="F2" s="4"/>
      <c r="G2" s="4"/>
      <c r="H2" s="4"/>
      <c r="I2" s="4"/>
      <c r="J2" s="4"/>
      <c r="K2" s="4"/>
      <c r="L2" s="4"/>
      <c r="M2" s="4"/>
      <c r="N2" s="5"/>
      <c r="O2" s="5"/>
      <c r="P2" s="5"/>
      <c r="Q2" s="5"/>
      <c r="R2" s="5"/>
      <c r="S2" s="5"/>
      <c r="T2" s="5"/>
      <c r="U2" s="5"/>
      <c r="V2" s="5"/>
    </row>
    <row r="3" spans="1:22" x14ac:dyDescent="0.25">
      <c r="A3" s="5"/>
      <c r="B3" s="5"/>
      <c r="C3" s="5"/>
      <c r="D3" s="5"/>
      <c r="E3" s="55"/>
      <c r="F3" s="5"/>
      <c r="G3" s="5"/>
      <c r="H3" s="5"/>
      <c r="I3" s="5"/>
      <c r="J3" s="5"/>
      <c r="K3" s="5"/>
      <c r="L3" s="5"/>
      <c r="M3" s="5" t="s">
        <v>42</v>
      </c>
      <c r="N3" s="5">
        <v>30</v>
      </c>
      <c r="P3" s="5"/>
    </row>
    <row r="4" spans="1:22" ht="14" x14ac:dyDescent="0.3">
      <c r="A4" s="54" t="s">
        <v>55</v>
      </c>
      <c r="M4" s="14" t="s">
        <v>0</v>
      </c>
      <c r="N4" s="15">
        <v>0.06</v>
      </c>
      <c r="O4" s="7"/>
      <c r="P4" s="5"/>
    </row>
    <row r="5" spans="1:22" ht="10.5" customHeight="1" thickBot="1" x14ac:dyDescent="0.35">
      <c r="A5" s="8"/>
      <c r="B5" s="8"/>
      <c r="C5" s="6"/>
      <c r="D5" s="6"/>
      <c r="E5" s="6"/>
      <c r="F5" s="6"/>
      <c r="G5" s="6"/>
      <c r="H5" s="6"/>
      <c r="I5" s="6"/>
      <c r="J5" s="6"/>
      <c r="K5" s="6"/>
      <c r="L5" s="6"/>
      <c r="M5" s="6"/>
      <c r="N5" s="6"/>
      <c r="O5" s="6"/>
      <c r="P5" s="5"/>
    </row>
    <row r="6" spans="1:22" ht="14" x14ac:dyDescent="0.3">
      <c r="A6" s="16"/>
      <c r="B6" s="16"/>
      <c r="C6" s="82" t="s">
        <v>16</v>
      </c>
      <c r="D6" s="82"/>
      <c r="E6" s="82"/>
      <c r="F6" s="82"/>
      <c r="G6" s="82"/>
      <c r="H6" s="82"/>
      <c r="I6" s="82"/>
      <c r="J6" s="82"/>
      <c r="K6" s="82"/>
      <c r="L6" s="83"/>
      <c r="M6" s="18" t="s">
        <v>1</v>
      </c>
      <c r="O6" s="5"/>
    </row>
    <row r="7" spans="1:22" ht="14" x14ac:dyDescent="0.3">
      <c r="B7" s="62">
        <v>0</v>
      </c>
      <c r="C7" s="12">
        <v>1</v>
      </c>
      <c r="D7" s="12">
        <v>2</v>
      </c>
      <c r="E7" s="12">
        <v>3</v>
      </c>
      <c r="F7" s="12">
        <v>4</v>
      </c>
      <c r="G7" s="12">
        <v>5</v>
      </c>
      <c r="H7" s="12">
        <v>6</v>
      </c>
      <c r="I7" s="12">
        <v>7</v>
      </c>
      <c r="J7" s="12">
        <v>8</v>
      </c>
      <c r="K7" s="12">
        <v>9</v>
      </c>
      <c r="L7" s="12">
        <v>10</v>
      </c>
      <c r="M7" s="17" t="s">
        <v>2</v>
      </c>
      <c r="O7" s="5"/>
    </row>
    <row r="8" spans="1:22" ht="14" x14ac:dyDescent="0.3">
      <c r="A8" s="13" t="s">
        <v>27</v>
      </c>
      <c r="B8" s="13"/>
      <c r="C8" s="81" t="s">
        <v>38</v>
      </c>
      <c r="D8" s="81" t="s">
        <v>39</v>
      </c>
      <c r="E8" s="81" t="s">
        <v>38</v>
      </c>
      <c r="F8" s="1"/>
      <c r="G8" s="1"/>
      <c r="H8" s="1"/>
      <c r="I8" s="1"/>
      <c r="J8" s="1"/>
      <c r="K8" s="1"/>
      <c r="L8" s="1"/>
      <c r="O8" s="5"/>
    </row>
    <row r="9" spans="1:22" ht="14" x14ac:dyDescent="0.3">
      <c r="A9" s="34" t="s">
        <v>10</v>
      </c>
      <c r="B9" s="60">
        <v>85</v>
      </c>
      <c r="C9" s="21"/>
      <c r="D9" s="21"/>
      <c r="E9" s="21"/>
      <c r="F9" s="21"/>
      <c r="G9" s="21"/>
      <c r="H9" s="21"/>
      <c r="I9" s="21"/>
      <c r="J9" s="21"/>
      <c r="K9" s="21"/>
      <c r="L9" s="21"/>
      <c r="M9" s="26"/>
      <c r="O9" s="5"/>
      <c r="S9" s="9"/>
    </row>
    <row r="10" spans="1:22" ht="14" x14ac:dyDescent="0.3">
      <c r="A10" s="42" t="s">
        <v>21</v>
      </c>
      <c r="B10" s="61">
        <v>0</v>
      </c>
      <c r="C10" s="22"/>
      <c r="D10" s="22">
        <v>0</v>
      </c>
      <c r="E10" s="22"/>
      <c r="F10" s="22"/>
      <c r="G10" s="22"/>
      <c r="H10" s="22"/>
      <c r="I10" s="22"/>
      <c r="J10" s="22"/>
      <c r="K10" s="22"/>
      <c r="L10" s="22"/>
      <c r="M10" s="27"/>
      <c r="O10" s="5"/>
      <c r="Q10" s="11"/>
      <c r="S10" s="9"/>
    </row>
    <row r="11" spans="1:22" ht="14" x14ac:dyDescent="0.3">
      <c r="A11" s="42" t="s">
        <v>15</v>
      </c>
      <c r="B11" s="64"/>
      <c r="C11" s="25">
        <v>0</v>
      </c>
      <c r="D11" s="25">
        <v>0</v>
      </c>
      <c r="E11" s="25"/>
      <c r="F11" s="25"/>
      <c r="G11" s="25"/>
      <c r="H11" s="25"/>
      <c r="I11" s="25"/>
      <c r="J11" s="25"/>
      <c r="K11" s="25"/>
      <c r="L11" s="25"/>
      <c r="M11" s="27"/>
      <c r="O11" s="5"/>
      <c r="Q11" s="11"/>
      <c r="S11" s="9"/>
    </row>
    <row r="12" spans="1:22" ht="14" x14ac:dyDescent="0.3">
      <c r="A12" s="34" t="s">
        <v>50</v>
      </c>
      <c r="B12" s="60"/>
      <c r="C12" s="25"/>
      <c r="D12" s="25">
        <f>(C20-C19)*$N$3</f>
        <v>17.699999999999996</v>
      </c>
      <c r="E12" s="25"/>
      <c r="F12" s="25"/>
      <c r="G12" s="25"/>
      <c r="H12" s="25"/>
      <c r="I12" s="25"/>
      <c r="J12" s="25"/>
      <c r="K12" s="25"/>
      <c r="L12" s="25"/>
      <c r="M12" s="27"/>
      <c r="O12" s="5"/>
      <c r="Q12" s="11"/>
      <c r="S12" s="9"/>
    </row>
    <row r="13" spans="1:22" ht="14" x14ac:dyDescent="0.3">
      <c r="A13" s="34" t="s">
        <v>9</v>
      </c>
      <c r="B13" s="60"/>
      <c r="C13" s="25"/>
      <c r="D13" s="25"/>
      <c r="E13" s="25"/>
      <c r="F13" s="25"/>
      <c r="G13" s="25"/>
      <c r="H13" s="25"/>
      <c r="I13" s="25"/>
      <c r="J13" s="25"/>
      <c r="K13" s="25"/>
      <c r="L13" s="25"/>
      <c r="M13" s="27"/>
      <c r="O13" s="5"/>
      <c r="Q13" s="11"/>
      <c r="S13" s="9"/>
    </row>
    <row r="14" spans="1:22" ht="14" x14ac:dyDescent="0.3">
      <c r="A14" s="36" t="s">
        <v>3</v>
      </c>
      <c r="B14" s="66">
        <f>SUM(B9:B13)</f>
        <v>85</v>
      </c>
      <c r="C14" s="23">
        <f>SUM(C9:C13)</f>
        <v>0</v>
      </c>
      <c r="D14" s="23">
        <f t="shared" ref="D14:G14" si="0">SUM(D9:D13)</f>
        <v>17.699999999999996</v>
      </c>
      <c r="E14" s="23">
        <f>SUM(E9:E13)</f>
        <v>0</v>
      </c>
      <c r="F14" s="23">
        <f t="shared" si="0"/>
        <v>0</v>
      </c>
      <c r="G14" s="23">
        <f t="shared" si="0"/>
        <v>0</v>
      </c>
      <c r="H14" s="23"/>
      <c r="I14" s="23"/>
      <c r="J14" s="23"/>
      <c r="K14" s="23"/>
      <c r="L14" s="23"/>
      <c r="M14" s="57">
        <f>SUM(B14:L14)</f>
        <v>102.69999999999999</v>
      </c>
      <c r="O14" s="5"/>
      <c r="Q14" s="11"/>
      <c r="S14" s="9"/>
    </row>
    <row r="15" spans="1:22" ht="14" x14ac:dyDescent="0.3">
      <c r="A15" s="34" t="s">
        <v>5</v>
      </c>
      <c r="B15" s="65">
        <v>1</v>
      </c>
      <c r="C15" s="24">
        <f>1/(1+$N$4)^C7</f>
        <v>0.94339622641509424</v>
      </c>
      <c r="D15" s="24">
        <f>1/(1+$N$4)^D7</f>
        <v>0.88999644001423983</v>
      </c>
      <c r="E15" s="24"/>
      <c r="F15" s="24"/>
      <c r="G15" s="24"/>
      <c r="H15" s="24"/>
      <c r="I15" s="24"/>
      <c r="J15" s="24"/>
      <c r="K15" s="24"/>
      <c r="L15" s="24"/>
      <c r="M15" s="57"/>
      <c r="O15" s="5"/>
      <c r="Q15" s="11"/>
      <c r="S15" s="9"/>
    </row>
    <row r="16" spans="1:22" s="38" customFormat="1" ht="14" x14ac:dyDescent="0.3">
      <c r="A16" s="36" t="s">
        <v>6</v>
      </c>
      <c r="B16" s="63">
        <f>B14*B15</f>
        <v>85</v>
      </c>
      <c r="C16" s="56">
        <f>C14*C15</f>
        <v>0</v>
      </c>
      <c r="D16" s="56">
        <f t="shared" ref="D16:G16" si="1">D14*D15</f>
        <v>15.752936988252042</v>
      </c>
      <c r="E16" s="56">
        <f t="shared" si="1"/>
        <v>0</v>
      </c>
      <c r="F16" s="56">
        <f t="shared" si="1"/>
        <v>0</v>
      </c>
      <c r="G16" s="56">
        <f t="shared" si="1"/>
        <v>0</v>
      </c>
      <c r="H16" s="56"/>
      <c r="I16" s="56"/>
      <c r="J16" s="56"/>
      <c r="K16" s="56"/>
      <c r="L16" s="56"/>
      <c r="M16" s="57">
        <f>SUM(B16:L16)</f>
        <v>100.75293698825205</v>
      </c>
      <c r="O16" s="39"/>
      <c r="Q16" s="40"/>
      <c r="S16" s="41"/>
    </row>
    <row r="17" spans="1:19" ht="14" x14ac:dyDescent="0.3">
      <c r="A17" s="34"/>
      <c r="B17" s="34"/>
      <c r="C17" s="28"/>
      <c r="D17" s="28"/>
      <c r="E17" s="28"/>
      <c r="F17" s="28"/>
      <c r="G17" s="28"/>
      <c r="H17" s="28"/>
      <c r="I17" s="28"/>
      <c r="J17" s="28"/>
      <c r="K17" s="28"/>
      <c r="L17" s="28"/>
      <c r="M17" s="26"/>
      <c r="O17" s="5"/>
      <c r="Q17" s="11"/>
      <c r="S17" s="9"/>
    </row>
    <row r="18" spans="1:19" ht="14" x14ac:dyDescent="0.3">
      <c r="A18" s="35" t="s">
        <v>28</v>
      </c>
      <c r="B18" s="35"/>
      <c r="C18" s="29"/>
      <c r="D18" s="29"/>
      <c r="E18" s="29"/>
      <c r="F18" s="29"/>
      <c r="G18" s="29"/>
      <c r="H18" s="29"/>
      <c r="I18" s="29"/>
      <c r="J18" s="29"/>
      <c r="K18" s="29"/>
      <c r="L18" s="29"/>
      <c r="M18" s="30"/>
      <c r="O18" s="5"/>
      <c r="Q18" s="11"/>
      <c r="S18" s="9"/>
    </row>
    <row r="19" spans="1:19" ht="14" x14ac:dyDescent="0.3">
      <c r="A19" s="34" t="s">
        <v>14</v>
      </c>
      <c r="B19" s="34"/>
      <c r="C19" s="43">
        <v>0.55000000000000004</v>
      </c>
      <c r="D19" s="43">
        <v>1.05</v>
      </c>
      <c r="E19" s="43"/>
      <c r="F19" s="43"/>
      <c r="G19" s="43"/>
      <c r="H19" s="43"/>
      <c r="I19" s="43"/>
      <c r="J19" s="43"/>
      <c r="K19" s="43"/>
      <c r="L19" s="43"/>
      <c r="M19" s="37">
        <f>SUM(C19:L19)</f>
        <v>1.6</v>
      </c>
      <c r="O19" s="5"/>
      <c r="Q19" s="11"/>
      <c r="S19" s="9"/>
    </row>
    <row r="20" spans="1:19" ht="14" x14ac:dyDescent="0.3">
      <c r="A20" s="34" t="s">
        <v>13</v>
      </c>
      <c r="B20" s="34"/>
      <c r="C20" s="43">
        <v>1.1399999999999999</v>
      </c>
      <c r="D20" s="43">
        <v>0.59</v>
      </c>
      <c r="E20" s="43"/>
      <c r="F20" s="43"/>
      <c r="G20" s="43"/>
      <c r="H20" s="43"/>
      <c r="I20" s="43"/>
      <c r="J20" s="43"/>
      <c r="K20" s="43"/>
      <c r="L20" s="43"/>
      <c r="M20" s="37">
        <f>SUM(C20:L20)</f>
        <v>1.73</v>
      </c>
      <c r="O20" s="5"/>
      <c r="Q20" s="11"/>
      <c r="S20" s="9"/>
    </row>
    <row r="21" spans="1:19" ht="14" x14ac:dyDescent="0.3">
      <c r="A21" s="34" t="s">
        <v>30</v>
      </c>
      <c r="B21" s="34"/>
      <c r="C21" s="44">
        <v>215</v>
      </c>
      <c r="D21" s="44">
        <v>255</v>
      </c>
      <c r="E21" s="44"/>
      <c r="F21" s="44"/>
      <c r="G21" s="44"/>
      <c r="H21" s="44"/>
      <c r="I21" s="44"/>
      <c r="J21" s="44"/>
      <c r="K21" s="44"/>
      <c r="L21" s="44"/>
      <c r="M21" s="30"/>
      <c r="O21" s="5"/>
      <c r="Q21" s="11"/>
      <c r="S21" s="9"/>
    </row>
    <row r="22" spans="1:19" ht="14" x14ac:dyDescent="0.3">
      <c r="A22" s="34" t="s">
        <v>11</v>
      </c>
      <c r="B22" s="34"/>
      <c r="C22" s="29">
        <f>(C20-C19)*C21</f>
        <v>126.84999999999997</v>
      </c>
      <c r="D22" s="29">
        <f t="shared" ref="D22:G22" si="2">(D20-D19)*D21</f>
        <v>-117.30000000000003</v>
      </c>
      <c r="E22" s="29">
        <f t="shared" si="2"/>
        <v>0</v>
      </c>
      <c r="F22" s="29">
        <f t="shared" si="2"/>
        <v>0</v>
      </c>
      <c r="G22" s="29">
        <f t="shared" si="2"/>
        <v>0</v>
      </c>
      <c r="H22" s="29"/>
      <c r="I22" s="29"/>
      <c r="J22" s="29"/>
      <c r="K22" s="29"/>
      <c r="L22" s="29"/>
      <c r="M22" s="48">
        <f>SUM(C22:L22)</f>
        <v>9.5499999999999403</v>
      </c>
      <c r="O22" s="5"/>
      <c r="Q22" s="11"/>
      <c r="S22" s="9"/>
    </row>
    <row r="23" spans="1:19" ht="14" x14ac:dyDescent="0.3">
      <c r="A23" s="34"/>
      <c r="B23" s="34"/>
      <c r="C23" s="45"/>
      <c r="D23" s="45"/>
      <c r="E23" s="45"/>
      <c r="F23" s="45"/>
      <c r="G23" s="45"/>
      <c r="H23" s="45"/>
      <c r="I23" s="45"/>
      <c r="J23" s="45"/>
      <c r="K23" s="45"/>
      <c r="L23" s="45"/>
      <c r="M23" s="46"/>
      <c r="O23" s="5"/>
      <c r="Q23" s="11"/>
      <c r="S23" s="9"/>
    </row>
    <row r="24" spans="1:19" s="38" customFormat="1" ht="14" x14ac:dyDescent="0.3">
      <c r="A24" s="36" t="s">
        <v>26</v>
      </c>
      <c r="B24" s="36"/>
      <c r="C24" s="47">
        <f>C22*C15</f>
        <v>119.66981132075468</v>
      </c>
      <c r="D24" s="47">
        <f t="shared" ref="D24:G24" si="3">D22*D15</f>
        <v>-104.39658241367036</v>
      </c>
      <c r="E24" s="47">
        <f t="shared" si="3"/>
        <v>0</v>
      </c>
      <c r="F24" s="47">
        <f t="shared" si="3"/>
        <v>0</v>
      </c>
      <c r="G24" s="47">
        <f t="shared" si="3"/>
        <v>0</v>
      </c>
      <c r="H24" s="47"/>
      <c r="I24" s="47"/>
      <c r="J24" s="47"/>
      <c r="K24" s="47"/>
      <c r="L24" s="47"/>
      <c r="M24" s="48">
        <f>SUM(C24:L24)</f>
        <v>15.273228907084317</v>
      </c>
      <c r="O24" s="39"/>
      <c r="Q24" s="40"/>
      <c r="S24" s="41"/>
    </row>
    <row r="25" spans="1:19" ht="14" x14ac:dyDescent="0.3">
      <c r="A25" s="1"/>
      <c r="B25" s="1"/>
      <c r="C25" s="28"/>
      <c r="D25" s="28"/>
      <c r="E25" s="28"/>
      <c r="F25" s="28"/>
      <c r="G25" s="28"/>
      <c r="H25" s="28"/>
      <c r="I25" s="28"/>
      <c r="J25" s="28"/>
      <c r="K25" s="28"/>
      <c r="L25" s="28"/>
      <c r="M25" s="30"/>
      <c r="O25" s="5"/>
      <c r="S25" s="9"/>
    </row>
    <row r="26" spans="1:19" ht="14" x14ac:dyDescent="0.3">
      <c r="A26" s="13" t="s">
        <v>8</v>
      </c>
      <c r="B26" s="13"/>
      <c r="C26" s="31"/>
      <c r="D26" s="31"/>
      <c r="E26" s="31"/>
      <c r="F26" s="31"/>
      <c r="G26" s="31"/>
      <c r="H26" s="31"/>
      <c r="I26" s="31"/>
      <c r="J26" s="31"/>
      <c r="K26" s="31"/>
      <c r="L26" s="31"/>
      <c r="M26" s="10"/>
      <c r="O26" s="5"/>
      <c r="R26" s="11"/>
    </row>
    <row r="27" spans="1:19" s="54" customFormat="1" ht="14" x14ac:dyDescent="0.3">
      <c r="A27" s="1" t="s">
        <v>7</v>
      </c>
      <c r="B27" s="32">
        <f>B22-B14</f>
        <v>-85</v>
      </c>
      <c r="C27" s="32">
        <f>C22-C14</f>
        <v>126.84999999999997</v>
      </c>
      <c r="D27" s="32">
        <f t="shared" ref="D27:G27" si="4">D22-D14</f>
        <v>-135.00000000000003</v>
      </c>
      <c r="E27" s="32">
        <f t="shared" si="4"/>
        <v>0</v>
      </c>
      <c r="F27" s="32">
        <f t="shared" si="4"/>
        <v>0</v>
      </c>
      <c r="G27" s="32">
        <f t="shared" si="4"/>
        <v>0</v>
      </c>
      <c r="H27" s="32"/>
      <c r="I27" s="32"/>
      <c r="J27" s="32"/>
      <c r="K27" s="32"/>
      <c r="L27" s="32"/>
      <c r="M27" s="79">
        <f>SUM(B27:L27)</f>
        <v>-93.150000000000063</v>
      </c>
      <c r="O27" s="55"/>
      <c r="R27" s="80"/>
    </row>
    <row r="28" spans="1:19" ht="14" x14ac:dyDescent="0.3">
      <c r="A28" s="2" t="s">
        <v>20</v>
      </c>
      <c r="B28" s="32">
        <f>B24-B16</f>
        <v>-85</v>
      </c>
      <c r="C28" s="32">
        <f>C24-C16</f>
        <v>119.66981132075468</v>
      </c>
      <c r="D28" s="32">
        <f t="shared" ref="D28:G28" si="5">D24-D16</f>
        <v>-120.1495194019224</v>
      </c>
      <c r="E28" s="32">
        <f t="shared" si="5"/>
        <v>0</v>
      </c>
      <c r="F28" s="32">
        <f t="shared" si="5"/>
        <v>0</v>
      </c>
      <c r="G28" s="32">
        <f t="shared" si="5"/>
        <v>0</v>
      </c>
      <c r="H28" s="32"/>
      <c r="I28" s="32"/>
      <c r="J28" s="32"/>
      <c r="K28" s="32"/>
      <c r="L28" s="32"/>
      <c r="M28" s="58">
        <f>SUM(B28:L28)</f>
        <v>-85.479708081167729</v>
      </c>
      <c r="O28" s="5"/>
      <c r="R28" s="11"/>
    </row>
    <row r="29" spans="1:19" ht="14" x14ac:dyDescent="0.3">
      <c r="A29" s="2" t="s">
        <v>19</v>
      </c>
      <c r="B29" s="32">
        <f>B28</f>
        <v>-85</v>
      </c>
      <c r="C29" s="32">
        <f>B28+C28</f>
        <v>34.669811320754675</v>
      </c>
      <c r="D29" s="32">
        <f>D28+C29</f>
        <v>-85.479708081167729</v>
      </c>
      <c r="E29" s="32">
        <f t="shared" ref="E29:G29" si="6">E28+D29</f>
        <v>-85.479708081167729</v>
      </c>
      <c r="F29" s="32">
        <f t="shared" si="6"/>
        <v>-85.479708081167729</v>
      </c>
      <c r="G29" s="32">
        <f t="shared" si="6"/>
        <v>-85.479708081167729</v>
      </c>
      <c r="H29" s="32"/>
      <c r="I29" s="32"/>
      <c r="J29" s="32"/>
      <c r="K29" s="32"/>
      <c r="L29" s="32"/>
      <c r="M29" s="58"/>
      <c r="O29" s="5"/>
      <c r="R29" s="11"/>
    </row>
    <row r="30" spans="1:19" s="54" customFormat="1" ht="14" x14ac:dyDescent="0.3">
      <c r="A30" s="1" t="s">
        <v>17</v>
      </c>
      <c r="B30" s="77">
        <f>(SUM(B22)-SUM(B14:B14))/SUM(B14:B14)</f>
        <v>-1</v>
      </c>
      <c r="C30" s="77">
        <f>(SUM($B$22:C22)-SUM($B$14:C14))/SUM($B$14:C14)</f>
        <v>0.49235294117647016</v>
      </c>
      <c r="D30" s="77">
        <f>(SUM($B$22:D22)-SUM($B$14:D14))/SUM($B$14:D14)</f>
        <v>-0.90701071080817974</v>
      </c>
      <c r="E30" s="77">
        <f>(SUM($B$22:E22)-SUM($B$14:E14))/SUM($B$14:E14)</f>
        <v>-0.90701071080817974</v>
      </c>
      <c r="F30" s="77">
        <f>(SUM($B$22:F22)-SUM($B$14:F14))/SUM($B$14:F14)</f>
        <v>-0.90701071080817974</v>
      </c>
      <c r="G30" s="77">
        <f>(SUM($B$22:G22)-SUM($B$14:G14))/SUM($B$14:G14)</f>
        <v>-0.90701071080817974</v>
      </c>
      <c r="H30" s="77"/>
      <c r="I30" s="77"/>
      <c r="J30" s="77"/>
      <c r="K30" s="77"/>
      <c r="L30" s="77"/>
      <c r="M30" s="78">
        <f>(M22-M14)/M14</f>
        <v>-0.90701071080817974</v>
      </c>
    </row>
    <row r="31" spans="1:19" ht="14" x14ac:dyDescent="0.3">
      <c r="A31" s="2" t="s">
        <v>29</v>
      </c>
      <c r="B31" s="20">
        <f>(SUM(B23)-SUM(B15:B15))/SUM(B15:B15)</f>
        <v>-1</v>
      </c>
      <c r="C31" s="20">
        <f>(SUM($B$24:C24)-SUM($B$16:C16))/SUM($B$16:C16)</f>
        <v>0.4078801331853491</v>
      </c>
      <c r="D31" s="20">
        <f>(SUM($B$24:D24)-SUM($B$16:D16))/SUM($B$16:D16)</f>
        <v>-0.84840909492429784</v>
      </c>
      <c r="E31" s="20">
        <f>(SUM($B$24:E24)-SUM($B$16:E16))/SUM($B$16:E16)</f>
        <v>-0.84840909492429784</v>
      </c>
      <c r="F31" s="20">
        <f>(SUM($B$24:F24)-SUM($B$16:F16))/SUM($B$16:F16)</f>
        <v>-0.84840909492429784</v>
      </c>
      <c r="G31" s="20">
        <f>(SUM($B$24:G24)-SUM($B$16:G16))/SUM($B$16:G16)</f>
        <v>-0.84840909492429784</v>
      </c>
      <c r="H31" s="20"/>
      <c r="I31" s="20"/>
      <c r="J31" s="20"/>
      <c r="K31" s="20"/>
      <c r="L31" s="20"/>
      <c r="M31" s="59">
        <f>(M24-M16)/M16</f>
        <v>-0.84840909492429784</v>
      </c>
    </row>
    <row r="32" spans="1:19" ht="14" x14ac:dyDescent="0.3">
      <c r="A32" s="2" t="s">
        <v>18</v>
      </c>
      <c r="B32" s="20"/>
      <c r="C32" s="20"/>
      <c r="D32" s="20"/>
      <c r="E32" s="20"/>
      <c r="F32" s="20"/>
      <c r="G32" s="20"/>
      <c r="H32" s="20"/>
      <c r="I32" s="20"/>
      <c r="J32" s="20"/>
      <c r="K32" s="20"/>
      <c r="L32" s="20"/>
      <c r="M32" s="19">
        <f>M24/M16</f>
        <v>0.15159090507570216</v>
      </c>
    </row>
    <row r="33" spans="1:15" s="71" customFormat="1" ht="13.9" customHeight="1" x14ac:dyDescent="0.3">
      <c r="A33" s="68" t="s">
        <v>4</v>
      </c>
      <c r="B33" s="68"/>
      <c r="C33" s="69"/>
      <c r="D33" s="69"/>
      <c r="E33" s="69"/>
      <c r="F33" s="69"/>
      <c r="G33" s="69"/>
      <c r="H33" s="69"/>
      <c r="I33" s="69"/>
      <c r="J33" s="69"/>
      <c r="K33" s="69"/>
      <c r="L33" s="69"/>
      <c r="M33" s="70">
        <f>M24-M16</f>
        <v>-85.479708081167729</v>
      </c>
      <c r="O33" s="72"/>
    </row>
    <row r="34" spans="1:15" s="74" customFormat="1" ht="19.899999999999999" customHeight="1" x14ac:dyDescent="0.3">
      <c r="A34" s="73" t="s">
        <v>25</v>
      </c>
      <c r="M34" s="75">
        <f>MIRR(B27:L27,N4,N4)</f>
        <v>-4.8324945282928744E-2</v>
      </c>
    </row>
    <row r="36" spans="1:15" x14ac:dyDescent="0.25">
      <c r="A36" s="54" t="s">
        <v>23</v>
      </c>
    </row>
    <row r="37" spans="1:15" x14ac:dyDescent="0.25">
      <c r="A37" s="54" t="s">
        <v>46</v>
      </c>
    </row>
    <row r="39" spans="1:15" x14ac:dyDescent="0.25">
      <c r="B39" t="s">
        <v>31</v>
      </c>
      <c r="C39" t="s">
        <v>32</v>
      </c>
      <c r="D39" t="s">
        <v>33</v>
      </c>
      <c r="E39" t="s">
        <v>34</v>
      </c>
      <c r="F39" t="s">
        <v>35</v>
      </c>
      <c r="G39" t="s">
        <v>36</v>
      </c>
    </row>
    <row r="40" spans="1:15" x14ac:dyDescent="0.25">
      <c r="A40" t="s">
        <v>37</v>
      </c>
      <c r="B40" s="76">
        <f>B28</f>
        <v>-85</v>
      </c>
      <c r="C40" s="76">
        <f>C28+B40</f>
        <v>34.669811320754675</v>
      </c>
      <c r="D40" s="76">
        <f>D28+C40</f>
        <v>-85.479708081167729</v>
      </c>
      <c r="E40" s="76">
        <f t="shared" ref="E40" si="7">E28+D40</f>
        <v>-85.479708081167729</v>
      </c>
      <c r="F40" s="76"/>
      <c r="G40" s="76"/>
    </row>
  </sheetData>
  <mergeCells count="2">
    <mergeCell ref="A1:N1"/>
    <mergeCell ref="C6:L6"/>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99418-0932-4DE7-ADCE-C60A8859CCD6}">
  <dimension ref="A1:V40"/>
  <sheetViews>
    <sheetView topLeftCell="A48" workbookViewId="0">
      <selection activeCell="I42" sqref="I42"/>
    </sheetView>
  </sheetViews>
  <sheetFormatPr defaultRowHeight="12.5" x14ac:dyDescent="0.25"/>
  <cols>
    <col min="1" max="1" width="45.1796875" customWidth="1"/>
    <col min="2" max="2" width="15.7265625" customWidth="1"/>
    <col min="3" max="3" width="21.26953125" customWidth="1"/>
    <col min="4" max="10" width="13" customWidth="1"/>
    <col min="11" max="13" width="14.1796875" customWidth="1"/>
    <col min="14" max="14" width="13.81640625" customWidth="1"/>
    <col min="15" max="15" width="14.26953125" customWidth="1"/>
    <col min="16" max="16" width="3.26953125" customWidth="1"/>
    <col min="18" max="18" width="11.1796875" bestFit="1" customWidth="1"/>
    <col min="19" max="20" width="12.7265625" bestFit="1" customWidth="1"/>
  </cols>
  <sheetData>
    <row r="1" spans="1:22" ht="17.25" customHeight="1" x14ac:dyDescent="0.35">
      <c r="A1" s="84" t="s">
        <v>22</v>
      </c>
      <c r="B1" s="84"/>
      <c r="C1" s="85"/>
      <c r="D1" s="85"/>
      <c r="E1" s="85"/>
      <c r="F1" s="85"/>
      <c r="G1" s="85"/>
      <c r="H1" s="85"/>
      <c r="I1" s="85"/>
      <c r="J1" s="85"/>
      <c r="K1" s="85"/>
      <c r="L1" s="85"/>
      <c r="M1" s="86"/>
      <c r="N1" s="86"/>
      <c r="O1" s="5"/>
      <c r="P1" s="5"/>
      <c r="Q1" s="5"/>
      <c r="R1" s="5"/>
      <c r="S1" s="5"/>
      <c r="T1" s="5"/>
      <c r="U1" s="5"/>
      <c r="V1" s="5"/>
    </row>
    <row r="2" spans="1:22" ht="12.75" customHeight="1" x14ac:dyDescent="0.35">
      <c r="A2" s="3"/>
      <c r="B2" s="3"/>
      <c r="C2" s="4"/>
      <c r="D2" s="4"/>
      <c r="E2" s="4"/>
      <c r="F2" s="4"/>
      <c r="G2" s="4"/>
      <c r="H2" s="4"/>
      <c r="I2" s="4"/>
      <c r="J2" s="4"/>
      <c r="K2" s="4"/>
      <c r="L2" s="4"/>
      <c r="M2" s="4"/>
      <c r="N2" s="5"/>
      <c r="O2" s="5"/>
      <c r="P2" s="5"/>
      <c r="Q2" s="5"/>
      <c r="R2" s="5"/>
      <c r="S2" s="5"/>
      <c r="T2" s="5"/>
      <c r="U2" s="5"/>
      <c r="V2" s="5"/>
    </row>
    <row r="3" spans="1:22" x14ac:dyDescent="0.25">
      <c r="A3" s="5"/>
      <c r="B3" s="5"/>
      <c r="C3" s="5"/>
      <c r="D3" s="5"/>
      <c r="E3" s="55"/>
      <c r="F3" s="5"/>
      <c r="G3" s="5"/>
      <c r="H3" s="5"/>
      <c r="I3" s="5"/>
      <c r="J3" s="5"/>
      <c r="K3" s="5"/>
      <c r="L3" s="5"/>
      <c r="M3" s="5" t="s">
        <v>42</v>
      </c>
      <c r="N3" s="5">
        <v>30</v>
      </c>
      <c r="P3" s="5"/>
    </row>
    <row r="4" spans="1:22" ht="14" x14ac:dyDescent="0.3">
      <c r="A4" s="54" t="s">
        <v>56</v>
      </c>
      <c r="M4" s="14" t="s">
        <v>0</v>
      </c>
      <c r="N4" s="15">
        <v>0.06</v>
      </c>
      <c r="O4" s="7"/>
      <c r="P4" s="5"/>
    </row>
    <row r="5" spans="1:22" ht="10.5" customHeight="1" thickBot="1" x14ac:dyDescent="0.35">
      <c r="A5" s="8"/>
      <c r="B5" s="8"/>
      <c r="C5" s="6"/>
      <c r="D5" s="6"/>
      <c r="E5" s="6"/>
      <c r="F5" s="6"/>
      <c r="G5" s="6"/>
      <c r="H5" s="6"/>
      <c r="I5" s="6"/>
      <c r="J5" s="6"/>
      <c r="K5" s="6"/>
      <c r="L5" s="6"/>
      <c r="M5" s="6"/>
      <c r="N5" s="6"/>
      <c r="O5" s="6"/>
      <c r="P5" s="5"/>
    </row>
    <row r="6" spans="1:22" ht="14" x14ac:dyDescent="0.3">
      <c r="A6" s="16"/>
      <c r="B6" s="16"/>
      <c r="C6" s="82" t="s">
        <v>16</v>
      </c>
      <c r="D6" s="82"/>
      <c r="E6" s="82"/>
      <c r="F6" s="82"/>
      <c r="G6" s="82"/>
      <c r="H6" s="82"/>
      <c r="I6" s="82"/>
      <c r="J6" s="82"/>
      <c r="K6" s="82"/>
      <c r="L6" s="83"/>
      <c r="M6" s="18" t="s">
        <v>1</v>
      </c>
      <c r="O6" s="5"/>
    </row>
    <row r="7" spans="1:22" ht="14" x14ac:dyDescent="0.3">
      <c r="B7" s="62">
        <v>0</v>
      </c>
      <c r="C7" s="12">
        <v>1</v>
      </c>
      <c r="D7" s="12">
        <v>2</v>
      </c>
      <c r="E7" s="12">
        <v>3</v>
      </c>
      <c r="F7" s="12">
        <v>4</v>
      </c>
      <c r="G7" s="12">
        <v>5</v>
      </c>
      <c r="H7" s="12">
        <v>6</v>
      </c>
      <c r="I7" s="12">
        <v>7</v>
      </c>
      <c r="J7" s="12">
        <v>8</v>
      </c>
      <c r="K7" s="12">
        <v>9</v>
      </c>
      <c r="L7" s="12">
        <v>10</v>
      </c>
      <c r="M7" s="17" t="s">
        <v>2</v>
      </c>
      <c r="O7" s="5"/>
    </row>
    <row r="8" spans="1:22" ht="14" x14ac:dyDescent="0.3">
      <c r="A8" s="13" t="s">
        <v>27</v>
      </c>
      <c r="B8" s="13"/>
      <c r="C8" s="81" t="s">
        <v>38</v>
      </c>
      <c r="D8" s="81" t="s">
        <v>39</v>
      </c>
      <c r="E8" s="81" t="s">
        <v>38</v>
      </c>
      <c r="F8" s="1"/>
      <c r="G8" s="1"/>
      <c r="H8" s="1"/>
      <c r="I8" s="1"/>
      <c r="J8" s="1"/>
      <c r="K8" s="1"/>
      <c r="L8" s="1"/>
      <c r="O8" s="5"/>
    </row>
    <row r="9" spans="1:22" ht="14" x14ac:dyDescent="0.3">
      <c r="A9" s="34" t="s">
        <v>10</v>
      </c>
      <c r="B9" s="60">
        <v>150</v>
      </c>
      <c r="C9" s="21"/>
      <c r="D9" s="21"/>
      <c r="E9" s="21"/>
      <c r="F9" s="21"/>
      <c r="G9" s="21"/>
      <c r="H9" s="21"/>
      <c r="I9" s="21"/>
      <c r="J9" s="21"/>
      <c r="K9" s="21"/>
      <c r="L9" s="21"/>
      <c r="M9" s="26"/>
      <c r="O9" s="5"/>
      <c r="S9" s="9"/>
    </row>
    <row r="10" spans="1:22" ht="14" x14ac:dyDescent="0.3">
      <c r="A10" s="42" t="s">
        <v>21</v>
      </c>
      <c r="B10" s="61">
        <v>0</v>
      </c>
      <c r="C10" s="22"/>
      <c r="D10" s="22">
        <v>0</v>
      </c>
      <c r="E10" s="22"/>
      <c r="F10" s="22"/>
      <c r="G10" s="22"/>
      <c r="H10" s="22"/>
      <c r="I10" s="22"/>
      <c r="J10" s="22"/>
      <c r="K10" s="22"/>
      <c r="L10" s="22"/>
      <c r="M10" s="27"/>
      <c r="O10" s="5"/>
      <c r="Q10" s="11"/>
      <c r="S10" s="9"/>
    </row>
    <row r="11" spans="1:22" ht="14" x14ac:dyDescent="0.3">
      <c r="A11" s="42" t="s">
        <v>15</v>
      </c>
      <c r="B11" s="64"/>
      <c r="C11" s="25">
        <v>0</v>
      </c>
      <c r="D11" s="25">
        <v>0</v>
      </c>
      <c r="E11" s="25"/>
      <c r="F11" s="25"/>
      <c r="G11" s="25"/>
      <c r="H11" s="25"/>
      <c r="I11" s="25"/>
      <c r="J11" s="25"/>
      <c r="K11" s="25"/>
      <c r="L11" s="25"/>
      <c r="M11" s="27"/>
      <c r="O11" s="5"/>
      <c r="Q11" s="11"/>
      <c r="S11" s="9"/>
    </row>
    <row r="12" spans="1:22" ht="14" x14ac:dyDescent="0.3">
      <c r="A12" s="34" t="s">
        <v>50</v>
      </c>
      <c r="B12" s="60"/>
      <c r="C12" s="25"/>
      <c r="D12" s="25">
        <f>(C20-C19)*$N$3</f>
        <v>15</v>
      </c>
      <c r="E12" s="25"/>
      <c r="F12" s="25"/>
      <c r="G12" s="25"/>
      <c r="H12" s="25"/>
      <c r="I12" s="25"/>
      <c r="J12" s="25"/>
      <c r="K12" s="25"/>
      <c r="L12" s="25"/>
      <c r="M12" s="27"/>
      <c r="O12" s="5"/>
      <c r="Q12" s="11"/>
      <c r="S12" s="9"/>
    </row>
    <row r="13" spans="1:22" ht="14" x14ac:dyDescent="0.3">
      <c r="A13" s="34" t="s">
        <v>9</v>
      </c>
      <c r="B13" s="60"/>
      <c r="C13" s="25"/>
      <c r="D13" s="25"/>
      <c r="E13" s="25"/>
      <c r="F13" s="25"/>
      <c r="G13" s="25"/>
      <c r="H13" s="25"/>
      <c r="I13" s="25"/>
      <c r="J13" s="25"/>
      <c r="K13" s="25"/>
      <c r="L13" s="25"/>
      <c r="M13" s="27"/>
      <c r="O13" s="5"/>
      <c r="Q13" s="11"/>
      <c r="S13" s="9"/>
    </row>
    <row r="14" spans="1:22" ht="14" x14ac:dyDescent="0.3">
      <c r="A14" s="36" t="s">
        <v>3</v>
      </c>
      <c r="B14" s="66">
        <f>SUM(B9:B13)</f>
        <v>150</v>
      </c>
      <c r="C14" s="23">
        <f>SUM(C9:C13)</f>
        <v>0</v>
      </c>
      <c r="D14" s="23">
        <f t="shared" ref="D14:G14" si="0">SUM(D9:D13)</f>
        <v>15</v>
      </c>
      <c r="E14" s="23">
        <f>SUM(E9:E13)</f>
        <v>0</v>
      </c>
      <c r="F14" s="23">
        <f t="shared" si="0"/>
        <v>0</v>
      </c>
      <c r="G14" s="23">
        <f t="shared" si="0"/>
        <v>0</v>
      </c>
      <c r="H14" s="23"/>
      <c r="I14" s="23"/>
      <c r="J14" s="23"/>
      <c r="K14" s="23"/>
      <c r="L14" s="23"/>
      <c r="M14" s="57">
        <f>SUM(B14:L14)</f>
        <v>165</v>
      </c>
      <c r="O14" s="5"/>
      <c r="Q14" s="11"/>
      <c r="S14" s="9"/>
    </row>
    <row r="15" spans="1:22" ht="14" x14ac:dyDescent="0.3">
      <c r="A15" s="34" t="s">
        <v>5</v>
      </c>
      <c r="B15" s="65">
        <v>1</v>
      </c>
      <c r="C15" s="24">
        <f>1/(1+$N$4)^C7</f>
        <v>0.94339622641509424</v>
      </c>
      <c r="D15" s="24">
        <f>1/(1+$N$4)^D7</f>
        <v>0.88999644001423983</v>
      </c>
      <c r="E15" s="24"/>
      <c r="F15" s="24"/>
      <c r="G15" s="24"/>
      <c r="H15" s="24"/>
      <c r="I15" s="24"/>
      <c r="J15" s="24"/>
      <c r="K15" s="24"/>
      <c r="L15" s="24"/>
      <c r="M15" s="57"/>
      <c r="O15" s="5"/>
      <c r="Q15" s="11"/>
      <c r="S15" s="9"/>
    </row>
    <row r="16" spans="1:22" s="38" customFormat="1" ht="14" x14ac:dyDescent="0.3">
      <c r="A16" s="36" t="s">
        <v>6</v>
      </c>
      <c r="B16" s="63">
        <f>B14*B15</f>
        <v>150</v>
      </c>
      <c r="C16" s="56">
        <f>C14*C15</f>
        <v>0</v>
      </c>
      <c r="D16" s="56">
        <f t="shared" ref="D16:G16" si="1">D14*D15</f>
        <v>13.349946600213597</v>
      </c>
      <c r="E16" s="56">
        <f t="shared" si="1"/>
        <v>0</v>
      </c>
      <c r="F16" s="56">
        <f t="shared" si="1"/>
        <v>0</v>
      </c>
      <c r="G16" s="56">
        <f t="shared" si="1"/>
        <v>0</v>
      </c>
      <c r="H16" s="56"/>
      <c r="I16" s="56"/>
      <c r="J16" s="56"/>
      <c r="K16" s="56"/>
      <c r="L16" s="56"/>
      <c r="M16" s="57">
        <f>SUM(B16:L16)</f>
        <v>163.3499466002136</v>
      </c>
      <c r="O16" s="39"/>
      <c r="Q16" s="40"/>
      <c r="S16" s="41"/>
    </row>
    <row r="17" spans="1:19" ht="14" x14ac:dyDescent="0.3">
      <c r="A17" s="34"/>
      <c r="B17" s="34"/>
      <c r="C17" s="28"/>
      <c r="D17" s="28"/>
      <c r="E17" s="28"/>
      <c r="F17" s="28"/>
      <c r="G17" s="28"/>
      <c r="H17" s="28"/>
      <c r="I17" s="28"/>
      <c r="J17" s="28"/>
      <c r="K17" s="28"/>
      <c r="L17" s="28"/>
      <c r="M17" s="26"/>
      <c r="O17" s="5"/>
      <c r="Q17" s="11"/>
      <c r="S17" s="9"/>
    </row>
    <row r="18" spans="1:19" ht="14" x14ac:dyDescent="0.3">
      <c r="A18" s="35" t="s">
        <v>28</v>
      </c>
      <c r="B18" s="35"/>
      <c r="C18" s="29"/>
      <c r="D18" s="29"/>
      <c r="E18" s="29"/>
      <c r="F18" s="29"/>
      <c r="G18" s="29"/>
      <c r="H18" s="29"/>
      <c r="I18" s="29"/>
      <c r="J18" s="29"/>
      <c r="K18" s="29"/>
      <c r="L18" s="29"/>
      <c r="M18" s="30"/>
      <c r="O18" s="5"/>
      <c r="Q18" s="11"/>
      <c r="S18" s="9"/>
    </row>
    <row r="19" spans="1:19" ht="14" x14ac:dyDescent="0.3">
      <c r="A19" s="34" t="s">
        <v>14</v>
      </c>
      <c r="B19" s="34"/>
      <c r="C19" s="43">
        <v>0.55000000000000004</v>
      </c>
      <c r="D19" s="43">
        <v>1.05</v>
      </c>
      <c r="E19" s="43"/>
      <c r="F19" s="43"/>
      <c r="G19" s="43"/>
      <c r="H19" s="43"/>
      <c r="I19" s="43"/>
      <c r="J19" s="43"/>
      <c r="K19" s="43"/>
      <c r="L19" s="43"/>
      <c r="M19" s="37">
        <f>SUM(C19:L19)</f>
        <v>1.6</v>
      </c>
      <c r="O19" s="5"/>
      <c r="Q19" s="11"/>
      <c r="S19" s="9"/>
    </row>
    <row r="20" spans="1:19" ht="14" x14ac:dyDescent="0.3">
      <c r="A20" s="34" t="s">
        <v>13</v>
      </c>
      <c r="B20" s="34"/>
      <c r="C20" s="43">
        <v>1.05</v>
      </c>
      <c r="D20" s="43">
        <v>0.86</v>
      </c>
      <c r="E20" s="43"/>
      <c r="F20" s="43"/>
      <c r="G20" s="43"/>
      <c r="H20" s="43"/>
      <c r="I20" s="43"/>
      <c r="J20" s="43"/>
      <c r="K20" s="43"/>
      <c r="L20" s="43"/>
      <c r="M20" s="37">
        <f>SUM(C20:L20)</f>
        <v>1.9100000000000001</v>
      </c>
      <c r="O20" s="5"/>
      <c r="Q20" s="11"/>
      <c r="S20" s="9"/>
    </row>
    <row r="21" spans="1:19" ht="14" x14ac:dyDescent="0.3">
      <c r="A21" s="34" t="s">
        <v>30</v>
      </c>
      <c r="B21" s="34"/>
      <c r="C21" s="44">
        <v>215</v>
      </c>
      <c r="D21" s="44">
        <v>255</v>
      </c>
      <c r="E21" s="44"/>
      <c r="F21" s="44"/>
      <c r="G21" s="44"/>
      <c r="H21" s="44"/>
      <c r="I21" s="44"/>
      <c r="J21" s="44"/>
      <c r="K21" s="44"/>
      <c r="L21" s="44"/>
      <c r="M21" s="30"/>
      <c r="O21" s="5"/>
      <c r="Q21" s="11"/>
      <c r="S21" s="9"/>
    </row>
    <row r="22" spans="1:19" ht="14" x14ac:dyDescent="0.3">
      <c r="A22" s="34" t="s">
        <v>11</v>
      </c>
      <c r="B22" s="34"/>
      <c r="C22" s="29">
        <f>(C20-C19)*C21</f>
        <v>107.5</v>
      </c>
      <c r="D22" s="29">
        <f t="shared" ref="D22:G22" si="2">(D20-D19)*D21</f>
        <v>-48.450000000000017</v>
      </c>
      <c r="E22" s="29">
        <f t="shared" si="2"/>
        <v>0</v>
      </c>
      <c r="F22" s="29">
        <f t="shared" si="2"/>
        <v>0</v>
      </c>
      <c r="G22" s="29">
        <f t="shared" si="2"/>
        <v>0</v>
      </c>
      <c r="H22" s="29"/>
      <c r="I22" s="29"/>
      <c r="J22" s="29"/>
      <c r="K22" s="29"/>
      <c r="L22" s="29"/>
      <c r="M22" s="48">
        <f>SUM(C22:L22)</f>
        <v>59.049999999999983</v>
      </c>
      <c r="O22" s="5"/>
      <c r="Q22" s="11"/>
      <c r="S22" s="9"/>
    </row>
    <row r="23" spans="1:19" ht="14" x14ac:dyDescent="0.3">
      <c r="A23" s="34"/>
      <c r="B23" s="34"/>
      <c r="C23" s="45"/>
      <c r="D23" s="45"/>
      <c r="E23" s="45"/>
      <c r="F23" s="45"/>
      <c r="G23" s="45"/>
      <c r="H23" s="45"/>
      <c r="I23" s="45"/>
      <c r="J23" s="45"/>
      <c r="K23" s="45"/>
      <c r="L23" s="45"/>
      <c r="M23" s="46"/>
      <c r="O23" s="5"/>
      <c r="Q23" s="11"/>
      <c r="S23" s="9"/>
    </row>
    <row r="24" spans="1:19" s="38" customFormat="1" ht="14" x14ac:dyDescent="0.3">
      <c r="A24" s="36" t="s">
        <v>26</v>
      </c>
      <c r="B24" s="36"/>
      <c r="C24" s="47">
        <f>C22*C15</f>
        <v>101.41509433962263</v>
      </c>
      <c r="D24" s="47">
        <f t="shared" ref="D24:G24" si="3">D22*D15</f>
        <v>-43.120327518689933</v>
      </c>
      <c r="E24" s="47">
        <f t="shared" si="3"/>
        <v>0</v>
      </c>
      <c r="F24" s="47">
        <f t="shared" si="3"/>
        <v>0</v>
      </c>
      <c r="G24" s="47">
        <f t="shared" si="3"/>
        <v>0</v>
      </c>
      <c r="H24" s="47"/>
      <c r="I24" s="47"/>
      <c r="J24" s="47"/>
      <c r="K24" s="47"/>
      <c r="L24" s="47"/>
      <c r="M24" s="48">
        <f>SUM(C24:L24)</f>
        <v>58.294766820932693</v>
      </c>
      <c r="O24" s="39"/>
      <c r="Q24" s="40"/>
      <c r="S24" s="41"/>
    </row>
    <row r="25" spans="1:19" ht="14" x14ac:dyDescent="0.3">
      <c r="A25" s="1"/>
      <c r="B25" s="1"/>
      <c r="C25" s="28"/>
      <c r="D25" s="28"/>
      <c r="E25" s="28"/>
      <c r="F25" s="28"/>
      <c r="G25" s="28"/>
      <c r="H25" s="28"/>
      <c r="I25" s="28"/>
      <c r="J25" s="28"/>
      <c r="K25" s="28"/>
      <c r="L25" s="28"/>
      <c r="M25" s="30"/>
      <c r="O25" s="5"/>
      <c r="S25" s="9"/>
    </row>
    <row r="26" spans="1:19" ht="14" x14ac:dyDescent="0.3">
      <c r="A26" s="13" t="s">
        <v>8</v>
      </c>
      <c r="B26" s="13"/>
      <c r="C26" s="31"/>
      <c r="D26" s="31"/>
      <c r="E26" s="31"/>
      <c r="F26" s="31"/>
      <c r="G26" s="31"/>
      <c r="H26" s="31"/>
      <c r="I26" s="31"/>
      <c r="J26" s="31"/>
      <c r="K26" s="31"/>
      <c r="L26" s="31"/>
      <c r="M26" s="10"/>
      <c r="O26" s="5"/>
      <c r="R26" s="11"/>
    </row>
    <row r="27" spans="1:19" s="54" customFormat="1" ht="14" x14ac:dyDescent="0.3">
      <c r="A27" s="1" t="s">
        <v>7</v>
      </c>
      <c r="B27" s="32">
        <f>B22-B14</f>
        <v>-150</v>
      </c>
      <c r="C27" s="32">
        <f>C22-C14</f>
        <v>107.5</v>
      </c>
      <c r="D27" s="32">
        <f t="shared" ref="D27:G27" si="4">D22-D14</f>
        <v>-63.450000000000017</v>
      </c>
      <c r="E27" s="32">
        <f t="shared" si="4"/>
        <v>0</v>
      </c>
      <c r="F27" s="32">
        <f t="shared" si="4"/>
        <v>0</v>
      </c>
      <c r="G27" s="32">
        <f t="shared" si="4"/>
        <v>0</v>
      </c>
      <c r="H27" s="32"/>
      <c r="I27" s="32"/>
      <c r="J27" s="32"/>
      <c r="K27" s="32"/>
      <c r="L27" s="32"/>
      <c r="M27" s="79">
        <f>SUM(B27:L27)</f>
        <v>-105.95000000000002</v>
      </c>
      <c r="O27" s="55"/>
      <c r="R27" s="80"/>
    </row>
    <row r="28" spans="1:19" ht="14" x14ac:dyDescent="0.3">
      <c r="A28" s="2" t="s">
        <v>20</v>
      </c>
      <c r="B28" s="32">
        <f>B24-B16</f>
        <v>-150</v>
      </c>
      <c r="C28" s="32">
        <f>C24-C16</f>
        <v>101.41509433962263</v>
      </c>
      <c r="D28" s="32">
        <f t="shared" ref="D28:G28" si="5">D24-D16</f>
        <v>-56.470274118903532</v>
      </c>
      <c r="E28" s="32">
        <f t="shared" si="5"/>
        <v>0</v>
      </c>
      <c r="F28" s="32">
        <f t="shared" si="5"/>
        <v>0</v>
      </c>
      <c r="G28" s="32">
        <f t="shared" si="5"/>
        <v>0</v>
      </c>
      <c r="H28" s="32"/>
      <c r="I28" s="32"/>
      <c r="J28" s="32"/>
      <c r="K28" s="32"/>
      <c r="L28" s="32"/>
      <c r="M28" s="58">
        <f>SUM(B28:L28)</f>
        <v>-105.05517977928091</v>
      </c>
      <c r="O28" s="5"/>
      <c r="R28" s="11"/>
    </row>
    <row r="29" spans="1:19" ht="14" x14ac:dyDescent="0.3">
      <c r="A29" s="2" t="s">
        <v>19</v>
      </c>
      <c r="B29" s="32">
        <f>B28</f>
        <v>-150</v>
      </c>
      <c r="C29" s="32">
        <f>B28+C28</f>
        <v>-48.584905660377373</v>
      </c>
      <c r="D29" s="32">
        <f>D28+C29</f>
        <v>-105.05517977928091</v>
      </c>
      <c r="E29" s="32">
        <f t="shared" ref="E29:G29" si="6">E28+D29</f>
        <v>-105.05517977928091</v>
      </c>
      <c r="F29" s="32">
        <f t="shared" si="6"/>
        <v>-105.05517977928091</v>
      </c>
      <c r="G29" s="32">
        <f t="shared" si="6"/>
        <v>-105.05517977928091</v>
      </c>
      <c r="H29" s="32"/>
      <c r="I29" s="32"/>
      <c r="J29" s="32"/>
      <c r="K29" s="32"/>
      <c r="L29" s="32"/>
      <c r="M29" s="58"/>
      <c r="O29" s="5"/>
      <c r="R29" s="11"/>
    </row>
    <row r="30" spans="1:19" s="54" customFormat="1" ht="14" x14ac:dyDescent="0.3">
      <c r="A30" s="1" t="s">
        <v>17</v>
      </c>
      <c r="B30" s="77">
        <f>(SUM(B22)-SUM(B14:B14))/SUM(B14:B14)</f>
        <v>-1</v>
      </c>
      <c r="C30" s="77">
        <f>(SUM($B$22:C22)-SUM($B$14:C14))/SUM($B$14:C14)</f>
        <v>-0.28333333333333333</v>
      </c>
      <c r="D30" s="77">
        <f>(SUM($B$22:D22)-SUM($B$14:D14))/SUM($B$14:D14)</f>
        <v>-0.6421212121212122</v>
      </c>
      <c r="E30" s="77">
        <f>(SUM($B$22:E22)-SUM($B$14:E14))/SUM($B$14:E14)</f>
        <v>-0.6421212121212122</v>
      </c>
      <c r="F30" s="77">
        <f>(SUM($B$22:F22)-SUM($B$14:F14))/SUM($B$14:F14)</f>
        <v>-0.6421212121212122</v>
      </c>
      <c r="G30" s="77">
        <f>(SUM($B$22:G22)-SUM($B$14:G14))/SUM($B$14:G14)</f>
        <v>-0.6421212121212122</v>
      </c>
      <c r="H30" s="77"/>
      <c r="I30" s="77"/>
      <c r="J30" s="77"/>
      <c r="K30" s="77"/>
      <c r="L30" s="77"/>
      <c r="M30" s="78">
        <f>(M22-M14)/M14</f>
        <v>-0.6421212121212122</v>
      </c>
    </row>
    <row r="31" spans="1:19" ht="14" x14ac:dyDescent="0.3">
      <c r="A31" s="2" t="s">
        <v>29</v>
      </c>
      <c r="B31" s="20">
        <f>(SUM(B23)-SUM(B15:B15))/SUM(B15:B15)</f>
        <v>-1</v>
      </c>
      <c r="C31" s="20">
        <f>(SUM($B$24:C24)-SUM($B$16:C16))/SUM($B$16:C16)</f>
        <v>-0.32389937106918248</v>
      </c>
      <c r="D31" s="20">
        <f>(SUM($B$24:D24)-SUM($B$16:D16))/SUM($B$16:D16)</f>
        <v>-0.64312956303803004</v>
      </c>
      <c r="E31" s="20">
        <f>(SUM($B$24:E24)-SUM($B$16:E16))/SUM($B$16:E16)</f>
        <v>-0.64312956303803004</v>
      </c>
      <c r="F31" s="20">
        <f>(SUM($B$24:F24)-SUM($B$16:F16))/SUM($B$16:F16)</f>
        <v>-0.64312956303803004</v>
      </c>
      <c r="G31" s="20">
        <f>(SUM($B$24:G24)-SUM($B$16:G16))/SUM($B$16:G16)</f>
        <v>-0.64312956303803004</v>
      </c>
      <c r="H31" s="20"/>
      <c r="I31" s="20"/>
      <c r="J31" s="20"/>
      <c r="K31" s="20"/>
      <c r="L31" s="20"/>
      <c r="M31" s="59">
        <f>(M24-M16)/M16</f>
        <v>-0.64312956303803004</v>
      </c>
    </row>
    <row r="32" spans="1:19" ht="14" x14ac:dyDescent="0.3">
      <c r="A32" s="2" t="s">
        <v>18</v>
      </c>
      <c r="B32" s="20"/>
      <c r="C32" s="20"/>
      <c r="D32" s="20"/>
      <c r="E32" s="20"/>
      <c r="F32" s="20"/>
      <c r="G32" s="20"/>
      <c r="H32" s="20"/>
      <c r="I32" s="20"/>
      <c r="J32" s="20"/>
      <c r="K32" s="20"/>
      <c r="L32" s="20"/>
      <c r="M32" s="19">
        <f>M24/M16</f>
        <v>0.35687043696197002</v>
      </c>
    </row>
    <row r="33" spans="1:15" s="71" customFormat="1" ht="13.9" customHeight="1" x14ac:dyDescent="0.3">
      <c r="A33" s="68" t="s">
        <v>4</v>
      </c>
      <c r="B33" s="68"/>
      <c r="C33" s="69"/>
      <c r="D33" s="69"/>
      <c r="E33" s="69"/>
      <c r="F33" s="69"/>
      <c r="G33" s="69"/>
      <c r="H33" s="69"/>
      <c r="I33" s="69"/>
      <c r="J33" s="69"/>
      <c r="K33" s="69"/>
      <c r="L33" s="69"/>
      <c r="M33" s="70">
        <f>M24-M16</f>
        <v>-105.05517977928091</v>
      </c>
      <c r="O33" s="72"/>
    </row>
    <row r="34" spans="1:15" s="74" customFormat="1" ht="19.899999999999999" customHeight="1" x14ac:dyDescent="0.3">
      <c r="A34" s="73" t="s">
        <v>25</v>
      </c>
      <c r="M34" s="75">
        <f>MIRR(B27:L27,N4,N4)</f>
        <v>-8.0493342113383326E-2</v>
      </c>
    </row>
    <row r="36" spans="1:15" x14ac:dyDescent="0.25">
      <c r="A36" s="54" t="s">
        <v>23</v>
      </c>
    </row>
    <row r="37" spans="1:15" x14ac:dyDescent="0.25">
      <c r="A37" s="54" t="s">
        <v>46</v>
      </c>
    </row>
    <row r="39" spans="1:15" x14ac:dyDescent="0.25">
      <c r="B39" t="s">
        <v>31</v>
      </c>
      <c r="C39" t="s">
        <v>32</v>
      </c>
      <c r="D39" t="s">
        <v>33</v>
      </c>
      <c r="E39" t="s">
        <v>34</v>
      </c>
      <c r="F39" t="s">
        <v>35</v>
      </c>
      <c r="G39" t="s">
        <v>36</v>
      </c>
    </row>
    <row r="40" spans="1:15" x14ac:dyDescent="0.25">
      <c r="A40" t="s">
        <v>37</v>
      </c>
      <c r="B40" s="76">
        <f>B28</f>
        <v>-150</v>
      </c>
      <c r="C40" s="76">
        <f>C28+B40</f>
        <v>-48.584905660377373</v>
      </c>
      <c r="D40" s="76">
        <f>D28+C40</f>
        <v>-105.05517977928091</v>
      </c>
      <c r="E40" s="76">
        <f t="shared" ref="E40" si="7">E28+D40</f>
        <v>-105.05517977928091</v>
      </c>
      <c r="F40" s="76"/>
      <c r="G40" s="76"/>
    </row>
  </sheetData>
  <mergeCells count="2">
    <mergeCell ref="A1:N1"/>
    <mergeCell ref="C6:L6"/>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46471-F3CC-4EA1-8F99-2AD333414242}">
  <dimension ref="A1:V40"/>
  <sheetViews>
    <sheetView topLeftCell="J17" workbookViewId="0">
      <selection activeCell="G59" sqref="G59"/>
    </sheetView>
  </sheetViews>
  <sheetFormatPr defaultRowHeight="12.5" x14ac:dyDescent="0.25"/>
  <cols>
    <col min="1" max="1" width="45.1796875" customWidth="1"/>
    <col min="2" max="2" width="15.7265625" customWidth="1"/>
    <col min="3" max="3" width="21.26953125" customWidth="1"/>
    <col min="4" max="10" width="13" customWidth="1"/>
    <col min="11" max="13" width="14.1796875" customWidth="1"/>
    <col min="14" max="14" width="13.81640625" customWidth="1"/>
    <col min="15" max="15" width="14.26953125" customWidth="1"/>
    <col min="16" max="16" width="3.26953125" customWidth="1"/>
    <col min="18" max="18" width="11.1796875" bestFit="1" customWidth="1"/>
    <col min="19" max="20" width="12.7265625" bestFit="1" customWidth="1"/>
  </cols>
  <sheetData>
    <row r="1" spans="1:22" ht="17.25" customHeight="1" x14ac:dyDescent="0.35">
      <c r="A1" s="84" t="s">
        <v>22</v>
      </c>
      <c r="B1" s="84"/>
      <c r="C1" s="85"/>
      <c r="D1" s="85"/>
      <c r="E1" s="85"/>
      <c r="F1" s="85"/>
      <c r="G1" s="85"/>
      <c r="H1" s="85"/>
      <c r="I1" s="85"/>
      <c r="J1" s="85"/>
      <c r="K1" s="85"/>
      <c r="L1" s="85"/>
      <c r="M1" s="86"/>
      <c r="N1" s="86"/>
      <c r="O1" s="5"/>
      <c r="P1" s="5"/>
      <c r="Q1" s="5"/>
      <c r="R1" s="5"/>
      <c r="S1" s="5"/>
      <c r="T1" s="5"/>
      <c r="U1" s="5"/>
      <c r="V1" s="5"/>
    </row>
    <row r="2" spans="1:22" ht="12.75" customHeight="1" x14ac:dyDescent="0.35">
      <c r="A2" s="3"/>
      <c r="B2" s="3"/>
      <c r="C2" s="4"/>
      <c r="D2" s="4"/>
      <c r="E2" s="4"/>
      <c r="F2" s="4"/>
      <c r="G2" s="4"/>
      <c r="H2" s="4"/>
      <c r="I2" s="4"/>
      <c r="J2" s="4"/>
      <c r="K2" s="4"/>
      <c r="L2" s="4"/>
      <c r="M2" s="4"/>
      <c r="N2" s="5"/>
      <c r="O2" s="5"/>
      <c r="P2" s="5"/>
      <c r="Q2" s="5"/>
      <c r="R2" s="5"/>
      <c r="S2" s="5"/>
      <c r="T2" s="5"/>
      <c r="U2" s="5"/>
      <c r="V2" s="5"/>
    </row>
    <row r="3" spans="1:22" x14ac:dyDescent="0.25">
      <c r="A3" s="5"/>
      <c r="B3" s="5"/>
      <c r="C3" s="5"/>
      <c r="D3" s="5"/>
      <c r="E3" s="55"/>
      <c r="F3" s="5"/>
      <c r="G3" s="5"/>
      <c r="H3" s="5"/>
      <c r="I3" s="5"/>
      <c r="J3" s="5"/>
      <c r="K3" s="5"/>
      <c r="L3" s="5"/>
      <c r="M3" s="5" t="s">
        <v>42</v>
      </c>
      <c r="N3" s="5">
        <v>30</v>
      </c>
      <c r="P3" s="5"/>
    </row>
    <row r="4" spans="1:22" ht="14" x14ac:dyDescent="0.3">
      <c r="A4" s="54" t="s">
        <v>57</v>
      </c>
      <c r="M4" s="14" t="s">
        <v>0</v>
      </c>
      <c r="N4" s="15">
        <v>0.06</v>
      </c>
      <c r="O4" s="7"/>
      <c r="P4" s="5"/>
    </row>
    <row r="5" spans="1:22" ht="10.5" customHeight="1" thickBot="1" x14ac:dyDescent="0.35">
      <c r="A5" s="8"/>
      <c r="B5" s="8"/>
      <c r="C5" s="6"/>
      <c r="D5" s="6"/>
      <c r="E5" s="6"/>
      <c r="F5" s="6"/>
      <c r="G5" s="6"/>
      <c r="H5" s="6"/>
      <c r="I5" s="6"/>
      <c r="J5" s="6"/>
      <c r="K5" s="6"/>
      <c r="L5" s="6"/>
      <c r="M5" s="6"/>
      <c r="N5" s="6"/>
      <c r="O5" s="6"/>
      <c r="P5" s="5"/>
    </row>
    <row r="6" spans="1:22" ht="14" x14ac:dyDescent="0.3">
      <c r="A6" s="16"/>
      <c r="B6" s="16"/>
      <c r="C6" s="82" t="s">
        <v>16</v>
      </c>
      <c r="D6" s="82"/>
      <c r="E6" s="82"/>
      <c r="F6" s="82"/>
      <c r="G6" s="82"/>
      <c r="H6" s="82"/>
      <c r="I6" s="82"/>
      <c r="J6" s="82"/>
      <c r="K6" s="82"/>
      <c r="L6" s="83"/>
      <c r="M6" s="18" t="s">
        <v>1</v>
      </c>
      <c r="O6" s="5"/>
    </row>
    <row r="7" spans="1:22" ht="14" x14ac:dyDescent="0.3">
      <c r="B7" s="62">
        <v>0</v>
      </c>
      <c r="C7" s="12">
        <v>1</v>
      </c>
      <c r="D7" s="12">
        <v>2</v>
      </c>
      <c r="E7" s="12">
        <v>3</v>
      </c>
      <c r="F7" s="12">
        <v>4</v>
      </c>
      <c r="G7" s="12">
        <v>5</v>
      </c>
      <c r="H7" s="12">
        <v>6</v>
      </c>
      <c r="I7" s="12">
        <v>7</v>
      </c>
      <c r="J7" s="12">
        <v>8</v>
      </c>
      <c r="K7" s="12">
        <v>9</v>
      </c>
      <c r="L7" s="12">
        <v>10</v>
      </c>
      <c r="M7" s="17" t="s">
        <v>2</v>
      </c>
      <c r="O7" s="5"/>
    </row>
    <row r="8" spans="1:22" ht="14" x14ac:dyDescent="0.3">
      <c r="A8" s="13" t="s">
        <v>27</v>
      </c>
      <c r="B8" s="13"/>
      <c r="C8" s="81" t="s">
        <v>38</v>
      </c>
      <c r="D8" s="81" t="s">
        <v>39</v>
      </c>
      <c r="E8" s="81" t="s">
        <v>38</v>
      </c>
      <c r="F8" s="1"/>
      <c r="G8" s="1"/>
      <c r="H8" s="1"/>
      <c r="I8" s="1"/>
      <c r="J8" s="1"/>
      <c r="K8" s="1"/>
      <c r="L8" s="1"/>
      <c r="O8" s="5"/>
    </row>
    <row r="9" spans="1:22" ht="14" x14ac:dyDescent="0.3">
      <c r="A9" s="34" t="s">
        <v>10</v>
      </c>
      <c r="B9" s="60">
        <v>150</v>
      </c>
      <c r="C9" s="21"/>
      <c r="D9" s="21"/>
      <c r="E9" s="21"/>
      <c r="F9" s="21"/>
      <c r="G9" s="21"/>
      <c r="H9" s="21"/>
      <c r="I9" s="21"/>
      <c r="J9" s="21"/>
      <c r="K9" s="21"/>
      <c r="L9" s="21"/>
      <c r="M9" s="26"/>
      <c r="O9" s="5"/>
      <c r="S9" s="9"/>
    </row>
    <row r="10" spans="1:22" ht="14" x14ac:dyDescent="0.3">
      <c r="A10" s="42" t="s">
        <v>21</v>
      </c>
      <c r="B10" s="61">
        <v>0</v>
      </c>
      <c r="C10" s="22"/>
      <c r="D10" s="22">
        <v>0</v>
      </c>
      <c r="E10" s="22"/>
      <c r="F10" s="22"/>
      <c r="G10" s="22"/>
      <c r="H10" s="22"/>
      <c r="I10" s="22"/>
      <c r="J10" s="22"/>
      <c r="K10" s="22"/>
      <c r="L10" s="22"/>
      <c r="M10" s="27"/>
      <c r="O10" s="5"/>
      <c r="Q10" s="11"/>
      <c r="S10" s="9"/>
    </row>
    <row r="11" spans="1:22" ht="14" x14ac:dyDescent="0.3">
      <c r="A11" s="42" t="s">
        <v>15</v>
      </c>
      <c r="B11" s="64"/>
      <c r="C11" s="25">
        <v>0</v>
      </c>
      <c r="D11" s="25">
        <v>0</v>
      </c>
      <c r="E11" s="25"/>
      <c r="F11" s="25"/>
      <c r="G11" s="25"/>
      <c r="H11" s="25"/>
      <c r="I11" s="25"/>
      <c r="J11" s="25"/>
      <c r="K11" s="25"/>
      <c r="L11" s="25"/>
      <c r="M11" s="27"/>
      <c r="O11" s="5"/>
      <c r="Q11" s="11"/>
      <c r="S11" s="9"/>
    </row>
    <row r="12" spans="1:22" ht="14" x14ac:dyDescent="0.3">
      <c r="A12" s="34" t="s">
        <v>50</v>
      </c>
      <c r="B12" s="60"/>
      <c r="C12" s="25"/>
      <c r="D12" s="25">
        <f>(C20-C19)*$N$3</f>
        <v>33</v>
      </c>
      <c r="E12" s="25"/>
      <c r="F12" s="25"/>
      <c r="G12" s="25"/>
      <c r="H12" s="25"/>
      <c r="I12" s="25"/>
      <c r="J12" s="25"/>
      <c r="K12" s="25"/>
      <c r="L12" s="25"/>
      <c r="M12" s="27"/>
      <c r="O12" s="5"/>
      <c r="Q12" s="11"/>
      <c r="S12" s="9"/>
    </row>
    <row r="13" spans="1:22" ht="14" x14ac:dyDescent="0.3">
      <c r="A13" s="34" t="s">
        <v>9</v>
      </c>
      <c r="B13" s="60"/>
      <c r="C13" s="25"/>
      <c r="D13" s="25"/>
      <c r="E13" s="25"/>
      <c r="F13" s="25"/>
      <c r="G13" s="25"/>
      <c r="H13" s="25"/>
      <c r="I13" s="25"/>
      <c r="J13" s="25"/>
      <c r="K13" s="25"/>
      <c r="L13" s="25"/>
      <c r="M13" s="27"/>
      <c r="O13" s="5"/>
      <c r="Q13" s="11"/>
      <c r="S13" s="9"/>
    </row>
    <row r="14" spans="1:22" ht="14" x14ac:dyDescent="0.3">
      <c r="A14" s="36" t="s">
        <v>3</v>
      </c>
      <c r="B14" s="66">
        <f>SUM(B9:B13)</f>
        <v>150</v>
      </c>
      <c r="C14" s="23">
        <f>SUM(C9:C13)</f>
        <v>0</v>
      </c>
      <c r="D14" s="23">
        <f t="shared" ref="D14:G14" si="0">SUM(D9:D13)</f>
        <v>33</v>
      </c>
      <c r="E14" s="23">
        <f>SUM(E9:E13)</f>
        <v>0</v>
      </c>
      <c r="F14" s="23">
        <f t="shared" si="0"/>
        <v>0</v>
      </c>
      <c r="G14" s="23">
        <f t="shared" si="0"/>
        <v>0</v>
      </c>
      <c r="H14" s="23"/>
      <c r="I14" s="23"/>
      <c r="J14" s="23"/>
      <c r="K14" s="23"/>
      <c r="L14" s="23"/>
      <c r="M14" s="57">
        <f>SUM(B14:L14)</f>
        <v>183</v>
      </c>
      <c r="O14" s="5"/>
      <c r="Q14" s="11"/>
      <c r="S14" s="9"/>
    </row>
    <row r="15" spans="1:22" ht="14" x14ac:dyDescent="0.3">
      <c r="A15" s="34" t="s">
        <v>5</v>
      </c>
      <c r="B15" s="65">
        <v>1</v>
      </c>
      <c r="C15" s="24">
        <f>1/(1+$N$4)^C7</f>
        <v>0.94339622641509424</v>
      </c>
      <c r="D15" s="24">
        <f>1/(1+$N$4)^D7</f>
        <v>0.88999644001423983</v>
      </c>
      <c r="E15" s="24"/>
      <c r="F15" s="24"/>
      <c r="G15" s="24"/>
      <c r="H15" s="24"/>
      <c r="I15" s="24"/>
      <c r="J15" s="24"/>
      <c r="K15" s="24"/>
      <c r="L15" s="24"/>
      <c r="M15" s="57"/>
      <c r="O15" s="5"/>
      <c r="Q15" s="11"/>
      <c r="S15" s="9"/>
    </row>
    <row r="16" spans="1:22" s="38" customFormat="1" ht="14" x14ac:dyDescent="0.3">
      <c r="A16" s="36" t="s">
        <v>6</v>
      </c>
      <c r="B16" s="63">
        <f>B14*B15</f>
        <v>150</v>
      </c>
      <c r="C16" s="56">
        <f>C14*C15</f>
        <v>0</v>
      </c>
      <c r="D16" s="56">
        <f t="shared" ref="D16:G16" si="1">D14*D15</f>
        <v>29.369882520469915</v>
      </c>
      <c r="E16" s="56">
        <f t="shared" si="1"/>
        <v>0</v>
      </c>
      <c r="F16" s="56">
        <f t="shared" si="1"/>
        <v>0</v>
      </c>
      <c r="G16" s="56">
        <f t="shared" si="1"/>
        <v>0</v>
      </c>
      <c r="H16" s="56"/>
      <c r="I16" s="56"/>
      <c r="J16" s="56"/>
      <c r="K16" s="56"/>
      <c r="L16" s="56"/>
      <c r="M16" s="57">
        <f>SUM(B16:L16)</f>
        <v>179.3698825204699</v>
      </c>
      <c r="O16" s="39"/>
      <c r="Q16" s="40"/>
      <c r="S16" s="41"/>
    </row>
    <row r="17" spans="1:19" ht="14" x14ac:dyDescent="0.3">
      <c r="A17" s="34"/>
      <c r="B17" s="34"/>
      <c r="C17" s="28"/>
      <c r="D17" s="28"/>
      <c r="E17" s="28"/>
      <c r="F17" s="28"/>
      <c r="G17" s="28"/>
      <c r="H17" s="28"/>
      <c r="I17" s="28"/>
      <c r="J17" s="28"/>
      <c r="K17" s="28"/>
      <c r="L17" s="28"/>
      <c r="M17" s="26"/>
      <c r="O17" s="5"/>
      <c r="Q17" s="11"/>
      <c r="S17" s="9"/>
    </row>
    <row r="18" spans="1:19" ht="14" x14ac:dyDescent="0.3">
      <c r="A18" s="35" t="s">
        <v>28</v>
      </c>
      <c r="B18" s="35"/>
      <c r="C18" s="29"/>
      <c r="D18" s="29"/>
      <c r="E18" s="29"/>
      <c r="F18" s="29"/>
      <c r="G18" s="29"/>
      <c r="H18" s="29"/>
      <c r="I18" s="29"/>
      <c r="J18" s="29"/>
      <c r="K18" s="29"/>
      <c r="L18" s="29"/>
      <c r="M18" s="30"/>
      <c r="O18" s="5"/>
      <c r="Q18" s="11"/>
      <c r="S18" s="9"/>
    </row>
    <row r="19" spans="1:19" ht="14" x14ac:dyDescent="0.3">
      <c r="A19" s="34" t="s">
        <v>14</v>
      </c>
      <c r="B19" s="34"/>
      <c r="C19" s="43">
        <v>1.1000000000000001</v>
      </c>
      <c r="D19" s="43">
        <v>0.7</v>
      </c>
      <c r="E19" s="43"/>
      <c r="F19" s="43"/>
      <c r="G19" s="43"/>
      <c r="H19" s="43"/>
      <c r="I19" s="43"/>
      <c r="J19" s="43"/>
      <c r="K19" s="43"/>
      <c r="L19" s="43"/>
      <c r="M19" s="37">
        <f>SUM(C19:L19)</f>
        <v>1.8</v>
      </c>
      <c r="O19" s="5"/>
      <c r="Q19" s="11"/>
      <c r="S19" s="9"/>
    </row>
    <row r="20" spans="1:19" ht="14" x14ac:dyDescent="0.3">
      <c r="A20" s="34" t="s">
        <v>13</v>
      </c>
      <c r="B20" s="34"/>
      <c r="C20" s="43">
        <v>2.2000000000000002</v>
      </c>
      <c r="D20" s="43">
        <v>0.92</v>
      </c>
      <c r="E20" s="43"/>
      <c r="F20" s="43"/>
      <c r="G20" s="43"/>
      <c r="H20" s="43"/>
      <c r="I20" s="43"/>
      <c r="J20" s="43"/>
      <c r="K20" s="43"/>
      <c r="L20" s="43"/>
      <c r="M20" s="37">
        <f>SUM(C20:L20)</f>
        <v>3.12</v>
      </c>
      <c r="O20" s="5"/>
      <c r="Q20" s="11"/>
      <c r="S20" s="9"/>
    </row>
    <row r="21" spans="1:19" ht="14" x14ac:dyDescent="0.3">
      <c r="A21" s="34" t="s">
        <v>30</v>
      </c>
      <c r="B21" s="34"/>
      <c r="C21" s="44">
        <v>215</v>
      </c>
      <c r="D21" s="44">
        <v>255</v>
      </c>
      <c r="E21" s="44"/>
      <c r="F21" s="44"/>
      <c r="G21" s="44"/>
      <c r="H21" s="44"/>
      <c r="I21" s="44"/>
      <c r="J21" s="44"/>
      <c r="K21" s="44"/>
      <c r="L21" s="44"/>
      <c r="M21" s="30"/>
      <c r="O21" s="5"/>
      <c r="Q21" s="11"/>
      <c r="S21" s="9"/>
    </row>
    <row r="22" spans="1:19" ht="14" x14ac:dyDescent="0.3">
      <c r="A22" s="34" t="s">
        <v>11</v>
      </c>
      <c r="B22" s="34"/>
      <c r="C22" s="29">
        <f>(C20-C19)*C21</f>
        <v>236.50000000000003</v>
      </c>
      <c r="D22" s="29">
        <f t="shared" ref="D22:G22" si="2">(D20-D19)*D21</f>
        <v>56.100000000000023</v>
      </c>
      <c r="E22" s="29">
        <f t="shared" si="2"/>
        <v>0</v>
      </c>
      <c r="F22" s="29">
        <f t="shared" si="2"/>
        <v>0</v>
      </c>
      <c r="G22" s="29">
        <f t="shared" si="2"/>
        <v>0</v>
      </c>
      <c r="H22" s="29"/>
      <c r="I22" s="29"/>
      <c r="J22" s="29"/>
      <c r="K22" s="29"/>
      <c r="L22" s="29"/>
      <c r="M22" s="48">
        <f>SUM(C22:L22)</f>
        <v>292.60000000000002</v>
      </c>
      <c r="O22" s="5"/>
      <c r="Q22" s="11"/>
      <c r="S22" s="9"/>
    </row>
    <row r="23" spans="1:19" ht="14" x14ac:dyDescent="0.3">
      <c r="A23" s="34"/>
      <c r="B23" s="34"/>
      <c r="C23" s="45"/>
      <c r="D23" s="45"/>
      <c r="E23" s="45"/>
      <c r="F23" s="45"/>
      <c r="G23" s="45"/>
      <c r="H23" s="45"/>
      <c r="I23" s="45"/>
      <c r="J23" s="45"/>
      <c r="K23" s="45"/>
      <c r="L23" s="45"/>
      <c r="M23" s="46"/>
      <c r="O23" s="5"/>
      <c r="Q23" s="11"/>
      <c r="S23" s="9"/>
    </row>
    <row r="24" spans="1:19" s="38" customFormat="1" ht="14" x14ac:dyDescent="0.3">
      <c r="A24" s="36" t="s">
        <v>26</v>
      </c>
      <c r="B24" s="36"/>
      <c r="C24" s="47">
        <f>C22*C15</f>
        <v>223.11320754716982</v>
      </c>
      <c r="D24" s="47">
        <f t="shared" ref="D24:G24" si="3">D22*D15</f>
        <v>49.928800284798875</v>
      </c>
      <c r="E24" s="47">
        <f t="shared" si="3"/>
        <v>0</v>
      </c>
      <c r="F24" s="47">
        <f t="shared" si="3"/>
        <v>0</v>
      </c>
      <c r="G24" s="47">
        <f t="shared" si="3"/>
        <v>0</v>
      </c>
      <c r="H24" s="47"/>
      <c r="I24" s="47"/>
      <c r="J24" s="47"/>
      <c r="K24" s="47"/>
      <c r="L24" s="47"/>
      <c r="M24" s="48">
        <f>SUM(C24:L24)</f>
        <v>273.0420078319687</v>
      </c>
      <c r="O24" s="39"/>
      <c r="Q24" s="40"/>
      <c r="S24" s="41"/>
    </row>
    <row r="25" spans="1:19" ht="14" x14ac:dyDescent="0.3">
      <c r="A25" s="1"/>
      <c r="B25" s="1"/>
      <c r="C25" s="28"/>
      <c r="D25" s="28"/>
      <c r="E25" s="28"/>
      <c r="F25" s="28"/>
      <c r="G25" s="28"/>
      <c r="H25" s="28"/>
      <c r="I25" s="28"/>
      <c r="J25" s="28"/>
      <c r="K25" s="28"/>
      <c r="L25" s="28"/>
      <c r="M25" s="30"/>
      <c r="O25" s="5"/>
      <c r="S25" s="9"/>
    </row>
    <row r="26" spans="1:19" ht="14" x14ac:dyDescent="0.3">
      <c r="A26" s="13" t="s">
        <v>8</v>
      </c>
      <c r="B26" s="13"/>
      <c r="C26" s="31"/>
      <c r="D26" s="31"/>
      <c r="E26" s="31"/>
      <c r="F26" s="31"/>
      <c r="G26" s="31"/>
      <c r="H26" s="31"/>
      <c r="I26" s="31"/>
      <c r="J26" s="31"/>
      <c r="K26" s="31"/>
      <c r="L26" s="31"/>
      <c r="M26" s="10"/>
      <c r="O26" s="5"/>
      <c r="R26" s="11"/>
    </row>
    <row r="27" spans="1:19" s="54" customFormat="1" ht="14" x14ac:dyDescent="0.3">
      <c r="A27" s="1" t="s">
        <v>7</v>
      </c>
      <c r="B27" s="32">
        <f>B22-B14</f>
        <v>-150</v>
      </c>
      <c r="C27" s="32">
        <f>C22-C14</f>
        <v>236.50000000000003</v>
      </c>
      <c r="D27" s="32">
        <f t="shared" ref="D27:G27" si="4">D22-D14</f>
        <v>23.100000000000023</v>
      </c>
      <c r="E27" s="32">
        <f t="shared" si="4"/>
        <v>0</v>
      </c>
      <c r="F27" s="32">
        <f t="shared" si="4"/>
        <v>0</v>
      </c>
      <c r="G27" s="32">
        <f t="shared" si="4"/>
        <v>0</v>
      </c>
      <c r="H27" s="32"/>
      <c r="I27" s="32"/>
      <c r="J27" s="32"/>
      <c r="K27" s="32"/>
      <c r="L27" s="32"/>
      <c r="M27" s="79">
        <f>SUM(B27:L27)</f>
        <v>109.60000000000005</v>
      </c>
      <c r="O27" s="55"/>
      <c r="R27" s="80"/>
    </row>
    <row r="28" spans="1:19" ht="14" x14ac:dyDescent="0.3">
      <c r="A28" s="2" t="s">
        <v>20</v>
      </c>
      <c r="B28" s="32">
        <f>B24-B16</f>
        <v>-150</v>
      </c>
      <c r="C28" s="32">
        <f>C24-C16</f>
        <v>223.11320754716982</v>
      </c>
      <c r="D28" s="32">
        <f t="shared" ref="D28:G28" si="5">D24-D16</f>
        <v>20.55891776432896</v>
      </c>
      <c r="E28" s="32">
        <f t="shared" si="5"/>
        <v>0</v>
      </c>
      <c r="F28" s="32">
        <f t="shared" si="5"/>
        <v>0</v>
      </c>
      <c r="G28" s="32">
        <f t="shared" si="5"/>
        <v>0</v>
      </c>
      <c r="H28" s="32"/>
      <c r="I28" s="32"/>
      <c r="J28" s="32"/>
      <c r="K28" s="32"/>
      <c r="L28" s="32"/>
      <c r="M28" s="58">
        <f>SUM(B28:L28)</f>
        <v>93.672125311498775</v>
      </c>
      <c r="O28" s="5"/>
      <c r="R28" s="11"/>
    </row>
    <row r="29" spans="1:19" ht="14" x14ac:dyDescent="0.3">
      <c r="A29" s="2" t="s">
        <v>19</v>
      </c>
      <c r="B29" s="32">
        <f>B28</f>
        <v>-150</v>
      </c>
      <c r="C29" s="32">
        <f>B28+C28</f>
        <v>73.113207547169822</v>
      </c>
      <c r="D29" s="32">
        <f>D28+C29</f>
        <v>93.672125311498775</v>
      </c>
      <c r="E29" s="32">
        <f t="shared" ref="E29:G29" si="6">E28+D29</f>
        <v>93.672125311498775</v>
      </c>
      <c r="F29" s="32">
        <f t="shared" si="6"/>
        <v>93.672125311498775</v>
      </c>
      <c r="G29" s="32">
        <f t="shared" si="6"/>
        <v>93.672125311498775</v>
      </c>
      <c r="H29" s="32"/>
      <c r="I29" s="32"/>
      <c r="J29" s="32"/>
      <c r="K29" s="32"/>
      <c r="L29" s="32"/>
      <c r="M29" s="58"/>
      <c r="O29" s="5"/>
      <c r="R29" s="11"/>
    </row>
    <row r="30" spans="1:19" s="54" customFormat="1" ht="14" x14ac:dyDescent="0.3">
      <c r="A30" s="1" t="s">
        <v>17</v>
      </c>
      <c r="B30" s="77">
        <f>(SUM(B22)-SUM(B14:B14))/SUM(B14:B14)</f>
        <v>-1</v>
      </c>
      <c r="C30" s="77">
        <f>(SUM($B$22:C22)-SUM($B$14:C14))/SUM($B$14:C14)</f>
        <v>0.57666666666666688</v>
      </c>
      <c r="D30" s="77">
        <f>(SUM($B$22:D22)-SUM($B$14:D14))/SUM($B$14:D14)</f>
        <v>0.59890710382513679</v>
      </c>
      <c r="E30" s="77">
        <f>(SUM($B$22:E22)-SUM($B$14:E14))/SUM($B$14:E14)</f>
        <v>0.59890710382513679</v>
      </c>
      <c r="F30" s="77">
        <f>(SUM($B$22:F22)-SUM($B$14:F14))/SUM($B$14:F14)</f>
        <v>0.59890710382513679</v>
      </c>
      <c r="G30" s="77">
        <f>(SUM($B$22:G22)-SUM($B$14:G14))/SUM($B$14:G14)</f>
        <v>0.59890710382513679</v>
      </c>
      <c r="H30" s="77"/>
      <c r="I30" s="77"/>
      <c r="J30" s="77"/>
      <c r="K30" s="77"/>
      <c r="L30" s="77"/>
      <c r="M30" s="78">
        <f>(M22-M14)/M14</f>
        <v>0.59890710382513679</v>
      </c>
    </row>
    <row r="31" spans="1:19" ht="14" x14ac:dyDescent="0.3">
      <c r="A31" s="2" t="s">
        <v>29</v>
      </c>
      <c r="B31" s="20">
        <f>(SUM(B23)-SUM(B15:B15))/SUM(B15:B15)</f>
        <v>-1</v>
      </c>
      <c r="C31" s="20">
        <f>(SUM($B$24:C24)-SUM($B$16:C16))/SUM($B$16:C16)</f>
        <v>0.4874213836477988</v>
      </c>
      <c r="D31" s="20">
        <f>(SUM($B$24:D24)-SUM($B$16:D16))/SUM($B$16:D16)</f>
        <v>0.52222883794780228</v>
      </c>
      <c r="E31" s="20">
        <f>(SUM($B$24:E24)-SUM($B$16:E16))/SUM($B$16:E16)</f>
        <v>0.52222883794780228</v>
      </c>
      <c r="F31" s="20">
        <f>(SUM($B$24:F24)-SUM($B$16:F16))/SUM($B$16:F16)</f>
        <v>0.52222883794780228</v>
      </c>
      <c r="G31" s="20">
        <f>(SUM($B$24:G24)-SUM($B$16:G16))/SUM($B$16:G16)</f>
        <v>0.52222883794780228</v>
      </c>
      <c r="H31" s="20"/>
      <c r="I31" s="20"/>
      <c r="J31" s="20"/>
      <c r="K31" s="20"/>
      <c r="L31" s="20"/>
      <c r="M31" s="59">
        <f>(M24-M16)/M16</f>
        <v>0.52222883794780228</v>
      </c>
    </row>
    <row r="32" spans="1:19" ht="14" x14ac:dyDescent="0.3">
      <c r="A32" s="2" t="s">
        <v>18</v>
      </c>
      <c r="B32" s="20"/>
      <c r="C32" s="20"/>
      <c r="D32" s="20"/>
      <c r="E32" s="20"/>
      <c r="F32" s="20"/>
      <c r="G32" s="20"/>
      <c r="H32" s="20"/>
      <c r="I32" s="20"/>
      <c r="J32" s="20"/>
      <c r="K32" s="20"/>
      <c r="L32" s="20"/>
      <c r="M32" s="19">
        <f>M24/M16</f>
        <v>1.5222288379478022</v>
      </c>
    </row>
    <row r="33" spans="1:15" s="71" customFormat="1" ht="13.9" customHeight="1" x14ac:dyDescent="0.3">
      <c r="A33" s="68" t="s">
        <v>4</v>
      </c>
      <c r="B33" s="68"/>
      <c r="C33" s="69"/>
      <c r="D33" s="69"/>
      <c r="E33" s="69"/>
      <c r="F33" s="69"/>
      <c r="G33" s="69"/>
      <c r="H33" s="69"/>
      <c r="I33" s="69"/>
      <c r="J33" s="69"/>
      <c r="K33" s="69"/>
      <c r="L33" s="69"/>
      <c r="M33" s="70">
        <f>M24-M16</f>
        <v>93.672125311498803</v>
      </c>
      <c r="O33" s="72"/>
    </row>
    <row r="34" spans="1:15" s="74" customFormat="1" ht="19.899999999999999" customHeight="1" x14ac:dyDescent="0.3">
      <c r="A34" s="73" t="s">
        <v>25</v>
      </c>
      <c r="M34" s="75">
        <f>MIRR(B27:L27,N4,N4)</f>
        <v>0.16801597774738175</v>
      </c>
    </row>
    <row r="36" spans="1:15" x14ac:dyDescent="0.25">
      <c r="A36" s="54" t="s">
        <v>23</v>
      </c>
    </row>
    <row r="37" spans="1:15" x14ac:dyDescent="0.25">
      <c r="A37" s="54" t="s">
        <v>46</v>
      </c>
    </row>
    <row r="39" spans="1:15" x14ac:dyDescent="0.25">
      <c r="B39" t="s">
        <v>31</v>
      </c>
      <c r="C39" t="s">
        <v>32</v>
      </c>
      <c r="D39" t="s">
        <v>33</v>
      </c>
      <c r="E39" t="s">
        <v>34</v>
      </c>
      <c r="F39" t="s">
        <v>35</v>
      </c>
      <c r="G39" t="s">
        <v>36</v>
      </c>
    </row>
    <row r="40" spans="1:15" x14ac:dyDescent="0.25">
      <c r="A40" t="s">
        <v>37</v>
      </c>
      <c r="B40" s="76">
        <f>B28</f>
        <v>-150</v>
      </c>
      <c r="C40" s="76">
        <f>C28+B40</f>
        <v>73.113207547169822</v>
      </c>
      <c r="D40" s="76">
        <f>D28+C40</f>
        <v>93.672125311498775</v>
      </c>
      <c r="E40" s="76">
        <f t="shared" ref="E40" si="7">E28+D40</f>
        <v>93.672125311498775</v>
      </c>
      <c r="F40" s="76"/>
      <c r="G40" s="76"/>
    </row>
  </sheetData>
  <mergeCells count="2">
    <mergeCell ref="A1:N1"/>
    <mergeCell ref="C6:L6"/>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2EE516-869F-4C41-A4AB-42BE326CF3C5}">
  <dimension ref="A1:V40"/>
  <sheetViews>
    <sheetView topLeftCell="A51" workbookViewId="0">
      <selection sqref="A1:XFD1048576"/>
    </sheetView>
  </sheetViews>
  <sheetFormatPr defaultRowHeight="12.5" x14ac:dyDescent="0.25"/>
  <cols>
    <col min="1" max="1" width="45.1796875" customWidth="1"/>
    <col min="2" max="2" width="15.7265625" customWidth="1"/>
    <col min="3" max="3" width="21.26953125" customWidth="1"/>
    <col min="4" max="10" width="13" customWidth="1"/>
    <col min="11" max="13" width="14.1796875" customWidth="1"/>
    <col min="14" max="14" width="13.81640625" customWidth="1"/>
    <col min="15" max="15" width="14.26953125" customWidth="1"/>
    <col min="16" max="16" width="3.26953125" customWidth="1"/>
    <col min="18" max="18" width="11.1796875" bestFit="1" customWidth="1"/>
    <col min="19" max="20" width="12.7265625" bestFit="1" customWidth="1"/>
  </cols>
  <sheetData>
    <row r="1" spans="1:22" ht="17.25" customHeight="1" x14ac:dyDescent="0.35">
      <c r="A1" s="84" t="s">
        <v>22</v>
      </c>
      <c r="B1" s="84"/>
      <c r="C1" s="85"/>
      <c r="D1" s="85"/>
      <c r="E1" s="85"/>
      <c r="F1" s="85"/>
      <c r="G1" s="85"/>
      <c r="H1" s="85"/>
      <c r="I1" s="85"/>
      <c r="J1" s="85"/>
      <c r="K1" s="85"/>
      <c r="L1" s="85"/>
      <c r="M1" s="86"/>
      <c r="N1" s="86"/>
      <c r="O1" s="5"/>
      <c r="P1" s="5"/>
      <c r="Q1" s="5"/>
      <c r="R1" s="5"/>
      <c r="S1" s="5"/>
      <c r="T1" s="5"/>
      <c r="U1" s="5"/>
      <c r="V1" s="5"/>
    </row>
    <row r="2" spans="1:22" ht="12.75" customHeight="1" x14ac:dyDescent="0.35">
      <c r="A2" s="3"/>
      <c r="B2" s="3"/>
      <c r="C2" s="4"/>
      <c r="D2" s="4"/>
      <c r="E2" s="4"/>
      <c r="F2" s="4"/>
      <c r="G2" s="4"/>
      <c r="H2" s="4"/>
      <c r="I2" s="4"/>
      <c r="J2" s="4"/>
      <c r="K2" s="4"/>
      <c r="L2" s="4"/>
      <c r="M2" s="4"/>
      <c r="N2" s="5"/>
      <c r="O2" s="5"/>
      <c r="P2" s="5"/>
      <c r="Q2" s="5"/>
      <c r="R2" s="5"/>
      <c r="S2" s="5"/>
      <c r="T2" s="5"/>
      <c r="U2" s="5"/>
      <c r="V2" s="5"/>
    </row>
    <row r="3" spans="1:22" x14ac:dyDescent="0.25">
      <c r="A3" s="5"/>
      <c r="B3" s="5"/>
      <c r="C3" s="5"/>
      <c r="D3" s="5"/>
      <c r="E3" s="55"/>
      <c r="F3" s="5"/>
      <c r="G3" s="5"/>
      <c r="H3" s="5"/>
      <c r="I3" s="5"/>
      <c r="J3" s="5"/>
      <c r="K3" s="5"/>
      <c r="L3" s="5"/>
      <c r="M3" s="5" t="s">
        <v>42</v>
      </c>
      <c r="N3" s="5">
        <v>30</v>
      </c>
      <c r="P3" s="5"/>
    </row>
    <row r="4" spans="1:22" ht="14" x14ac:dyDescent="0.3">
      <c r="A4" s="54" t="s">
        <v>58</v>
      </c>
      <c r="M4" s="14" t="s">
        <v>0</v>
      </c>
      <c r="N4" s="15">
        <v>0.06</v>
      </c>
      <c r="O4" s="7"/>
      <c r="P4" s="5"/>
    </row>
    <row r="5" spans="1:22" ht="10.5" customHeight="1" thickBot="1" x14ac:dyDescent="0.35">
      <c r="A5" s="8"/>
      <c r="B5" s="8"/>
      <c r="C5" s="6"/>
      <c r="D5" s="6"/>
      <c r="E5" s="6"/>
      <c r="F5" s="6"/>
      <c r="G5" s="6"/>
      <c r="H5" s="6"/>
      <c r="I5" s="6"/>
      <c r="J5" s="6"/>
      <c r="K5" s="6"/>
      <c r="L5" s="6"/>
      <c r="M5" s="6"/>
      <c r="N5" s="6"/>
      <c r="O5" s="6"/>
      <c r="P5" s="5"/>
    </row>
    <row r="6" spans="1:22" ht="14" x14ac:dyDescent="0.3">
      <c r="A6" s="16"/>
      <c r="B6" s="16"/>
      <c r="C6" s="82" t="s">
        <v>16</v>
      </c>
      <c r="D6" s="82"/>
      <c r="E6" s="82"/>
      <c r="F6" s="82"/>
      <c r="G6" s="82"/>
      <c r="H6" s="82"/>
      <c r="I6" s="82"/>
      <c r="J6" s="82"/>
      <c r="K6" s="82"/>
      <c r="L6" s="83"/>
      <c r="M6" s="18" t="s">
        <v>1</v>
      </c>
      <c r="O6" s="5"/>
    </row>
    <row r="7" spans="1:22" ht="14" x14ac:dyDescent="0.3">
      <c r="B7" s="62">
        <v>0</v>
      </c>
      <c r="C7" s="12">
        <v>1</v>
      </c>
      <c r="D7" s="12">
        <v>2</v>
      </c>
      <c r="E7" s="12">
        <v>3</v>
      </c>
      <c r="F7" s="12">
        <v>4</v>
      </c>
      <c r="G7" s="12">
        <v>5</v>
      </c>
      <c r="H7" s="12">
        <v>6</v>
      </c>
      <c r="I7" s="12">
        <v>7</v>
      </c>
      <c r="J7" s="12">
        <v>8</v>
      </c>
      <c r="K7" s="12">
        <v>9</v>
      </c>
      <c r="L7" s="12">
        <v>10</v>
      </c>
      <c r="M7" s="17" t="s">
        <v>2</v>
      </c>
      <c r="O7" s="5"/>
    </row>
    <row r="8" spans="1:22" ht="14" x14ac:dyDescent="0.3">
      <c r="A8" s="13" t="s">
        <v>27</v>
      </c>
      <c r="B8" s="13"/>
      <c r="C8" s="81" t="s">
        <v>39</v>
      </c>
      <c r="D8" s="81" t="s">
        <v>38</v>
      </c>
      <c r="E8" s="81"/>
      <c r="F8" s="1"/>
      <c r="G8" s="1"/>
      <c r="H8" s="1"/>
      <c r="I8" s="1"/>
      <c r="J8" s="1"/>
      <c r="K8" s="1"/>
      <c r="L8" s="1"/>
      <c r="O8" s="5"/>
    </row>
    <row r="9" spans="1:22" ht="14" x14ac:dyDescent="0.3">
      <c r="A9" s="34" t="s">
        <v>10</v>
      </c>
      <c r="B9" s="60">
        <v>65</v>
      </c>
      <c r="C9" s="21"/>
      <c r="D9" s="21"/>
      <c r="E9" s="21"/>
      <c r="F9" s="21"/>
      <c r="G9" s="21"/>
      <c r="H9" s="21"/>
      <c r="I9" s="21"/>
      <c r="J9" s="21"/>
      <c r="K9" s="21"/>
      <c r="L9" s="21"/>
      <c r="M9" s="26"/>
      <c r="O9" s="5"/>
      <c r="S9" s="9"/>
    </row>
    <row r="10" spans="1:22" ht="14" x14ac:dyDescent="0.3">
      <c r="A10" s="42" t="s">
        <v>21</v>
      </c>
      <c r="B10" s="61">
        <v>0</v>
      </c>
      <c r="C10" s="22"/>
      <c r="D10" s="22">
        <v>0</v>
      </c>
      <c r="E10" s="22"/>
      <c r="F10" s="22"/>
      <c r="G10" s="22"/>
      <c r="H10" s="22"/>
      <c r="I10" s="22"/>
      <c r="J10" s="22"/>
      <c r="K10" s="22"/>
      <c r="L10" s="22"/>
      <c r="M10" s="27"/>
      <c r="O10" s="5"/>
      <c r="Q10" s="11"/>
      <c r="S10" s="9"/>
    </row>
    <row r="11" spans="1:22" ht="14" x14ac:dyDescent="0.3">
      <c r="A11" s="42" t="s">
        <v>15</v>
      </c>
      <c r="B11" s="64"/>
      <c r="C11" s="25">
        <v>0</v>
      </c>
      <c r="D11" s="25">
        <v>0</v>
      </c>
      <c r="E11" s="25"/>
      <c r="F11" s="25"/>
      <c r="G11" s="25"/>
      <c r="H11" s="25"/>
      <c r="I11" s="25"/>
      <c r="J11" s="25"/>
      <c r="K11" s="25"/>
      <c r="L11" s="25"/>
      <c r="M11" s="27"/>
      <c r="O11" s="5"/>
      <c r="Q11" s="11"/>
      <c r="S11" s="9"/>
    </row>
    <row r="12" spans="1:22" ht="14" x14ac:dyDescent="0.3">
      <c r="A12" s="34" t="s">
        <v>50</v>
      </c>
      <c r="B12" s="60"/>
      <c r="C12" s="25"/>
      <c r="D12" s="25">
        <f>(C20-C19)*$N$3</f>
        <v>0</v>
      </c>
      <c r="E12" s="25"/>
      <c r="F12" s="25"/>
      <c r="G12" s="25"/>
      <c r="H12" s="25"/>
      <c r="I12" s="25"/>
      <c r="J12" s="25"/>
      <c r="K12" s="25"/>
      <c r="L12" s="25"/>
      <c r="M12" s="27"/>
      <c r="O12" s="5"/>
      <c r="Q12" s="11"/>
      <c r="S12" s="9"/>
    </row>
    <row r="13" spans="1:22" ht="14" x14ac:dyDescent="0.3">
      <c r="A13" s="34" t="s">
        <v>9</v>
      </c>
      <c r="B13" s="60"/>
      <c r="C13" s="25"/>
      <c r="D13" s="25"/>
      <c r="E13" s="25"/>
      <c r="F13" s="25"/>
      <c r="G13" s="25"/>
      <c r="H13" s="25"/>
      <c r="I13" s="25"/>
      <c r="J13" s="25"/>
      <c r="K13" s="25"/>
      <c r="L13" s="25"/>
      <c r="M13" s="27"/>
      <c r="O13" s="5"/>
      <c r="Q13" s="11"/>
      <c r="S13" s="9"/>
    </row>
    <row r="14" spans="1:22" ht="14" x14ac:dyDescent="0.3">
      <c r="A14" s="36" t="s">
        <v>3</v>
      </c>
      <c r="B14" s="66">
        <f>SUM(B9:B13)</f>
        <v>65</v>
      </c>
      <c r="C14" s="23">
        <f>SUM(C9:C13)</f>
        <v>0</v>
      </c>
      <c r="D14" s="23">
        <f t="shared" ref="D14:G14" si="0">SUM(D9:D13)</f>
        <v>0</v>
      </c>
      <c r="E14" s="23">
        <f>SUM(E9:E13)</f>
        <v>0</v>
      </c>
      <c r="F14" s="23">
        <f t="shared" si="0"/>
        <v>0</v>
      </c>
      <c r="G14" s="23">
        <f t="shared" si="0"/>
        <v>0</v>
      </c>
      <c r="H14" s="23"/>
      <c r="I14" s="23"/>
      <c r="J14" s="23"/>
      <c r="K14" s="23"/>
      <c r="L14" s="23"/>
      <c r="M14" s="57">
        <f>SUM(B14:L14)</f>
        <v>65</v>
      </c>
      <c r="O14" s="5"/>
      <c r="Q14" s="11"/>
      <c r="S14" s="9"/>
    </row>
    <row r="15" spans="1:22" ht="14" x14ac:dyDescent="0.3">
      <c r="A15" s="34" t="s">
        <v>5</v>
      </c>
      <c r="B15" s="65">
        <v>1</v>
      </c>
      <c r="C15" s="24">
        <f>1/(1+$N$4)^C7</f>
        <v>0.94339622641509424</v>
      </c>
      <c r="D15" s="24">
        <f>1/(1+$N$4)^D7</f>
        <v>0.88999644001423983</v>
      </c>
      <c r="E15" s="24"/>
      <c r="F15" s="24"/>
      <c r="G15" s="24"/>
      <c r="H15" s="24"/>
      <c r="I15" s="24"/>
      <c r="J15" s="24"/>
      <c r="K15" s="24"/>
      <c r="L15" s="24"/>
      <c r="M15" s="57"/>
      <c r="O15" s="5"/>
      <c r="Q15" s="11"/>
      <c r="S15" s="9"/>
    </row>
    <row r="16" spans="1:22" s="38" customFormat="1" ht="14" x14ac:dyDescent="0.3">
      <c r="A16" s="36" t="s">
        <v>6</v>
      </c>
      <c r="B16" s="63">
        <f>B14*B15</f>
        <v>65</v>
      </c>
      <c r="C16" s="56">
        <f>C14*C15</f>
        <v>0</v>
      </c>
      <c r="D16" s="56">
        <f t="shared" ref="D16:G16" si="1">D14*D15</f>
        <v>0</v>
      </c>
      <c r="E16" s="56">
        <f t="shared" si="1"/>
        <v>0</v>
      </c>
      <c r="F16" s="56">
        <f t="shared" si="1"/>
        <v>0</v>
      </c>
      <c r="G16" s="56">
        <f t="shared" si="1"/>
        <v>0</v>
      </c>
      <c r="H16" s="56"/>
      <c r="I16" s="56"/>
      <c r="J16" s="56"/>
      <c r="K16" s="56"/>
      <c r="L16" s="56"/>
      <c r="M16" s="57">
        <f>SUM(B16:L16)</f>
        <v>65</v>
      </c>
      <c r="O16" s="39"/>
      <c r="Q16" s="40"/>
      <c r="S16" s="41"/>
    </row>
    <row r="17" spans="1:19" ht="14" x14ac:dyDescent="0.3">
      <c r="A17" s="34"/>
      <c r="B17" s="34"/>
      <c r="C17" s="28"/>
      <c r="D17" s="28"/>
      <c r="E17" s="28"/>
      <c r="F17" s="28"/>
      <c r="G17" s="28"/>
      <c r="H17" s="28"/>
      <c r="I17" s="28"/>
      <c r="J17" s="28"/>
      <c r="K17" s="28"/>
      <c r="L17" s="28"/>
      <c r="M17" s="26"/>
      <c r="O17" s="5"/>
      <c r="Q17" s="11"/>
      <c r="S17" s="9"/>
    </row>
    <row r="18" spans="1:19" ht="14" x14ac:dyDescent="0.3">
      <c r="A18" s="35" t="s">
        <v>28</v>
      </c>
      <c r="B18" s="35"/>
      <c r="C18" s="29"/>
      <c r="D18" s="29"/>
      <c r="E18" s="29"/>
      <c r="F18" s="29"/>
      <c r="G18" s="29"/>
      <c r="H18" s="29"/>
      <c r="I18" s="29"/>
      <c r="J18" s="29"/>
      <c r="K18" s="29"/>
      <c r="L18" s="29"/>
      <c r="M18" s="30"/>
      <c r="O18" s="5"/>
      <c r="Q18" s="11"/>
      <c r="S18" s="9"/>
    </row>
    <row r="19" spans="1:19" ht="14" x14ac:dyDescent="0.3">
      <c r="A19" s="34" t="s">
        <v>14</v>
      </c>
      <c r="B19" s="34"/>
      <c r="C19" s="43">
        <v>0.4</v>
      </c>
      <c r="D19" s="43">
        <v>0.8</v>
      </c>
      <c r="E19" s="43"/>
      <c r="F19" s="43"/>
      <c r="G19" s="43"/>
      <c r="H19" s="43"/>
      <c r="I19" s="43"/>
      <c r="J19" s="43"/>
      <c r="K19" s="43"/>
      <c r="L19" s="43"/>
      <c r="M19" s="37">
        <f>SUM(C19:L19)</f>
        <v>1.2000000000000002</v>
      </c>
      <c r="O19" s="5"/>
      <c r="Q19" s="11"/>
      <c r="S19" s="9"/>
    </row>
    <row r="20" spans="1:19" ht="14" x14ac:dyDescent="0.3">
      <c r="A20" s="34" t="s">
        <v>13</v>
      </c>
      <c r="B20" s="34"/>
      <c r="C20" s="43">
        <v>0.4</v>
      </c>
      <c r="D20" s="43">
        <v>0.7</v>
      </c>
      <c r="E20" s="43"/>
      <c r="F20" s="43"/>
      <c r="G20" s="43"/>
      <c r="H20" s="43"/>
      <c r="I20" s="43"/>
      <c r="J20" s="43"/>
      <c r="K20" s="43"/>
      <c r="L20" s="43"/>
      <c r="M20" s="37">
        <f>SUM(C20:L20)</f>
        <v>1.1000000000000001</v>
      </c>
      <c r="O20" s="5"/>
      <c r="Q20" s="11"/>
      <c r="S20" s="9"/>
    </row>
    <row r="21" spans="1:19" ht="14" x14ac:dyDescent="0.3">
      <c r="A21" s="34" t="s">
        <v>30</v>
      </c>
      <c r="B21" s="34"/>
      <c r="C21" s="44">
        <v>255</v>
      </c>
      <c r="D21" s="44">
        <v>215</v>
      </c>
      <c r="E21" s="44"/>
      <c r="F21" s="44"/>
      <c r="G21" s="44"/>
      <c r="H21" s="44"/>
      <c r="I21" s="44"/>
      <c r="J21" s="44"/>
      <c r="K21" s="44"/>
      <c r="L21" s="44"/>
      <c r="M21" s="30"/>
      <c r="O21" s="5"/>
      <c r="Q21" s="11"/>
      <c r="S21" s="9"/>
    </row>
    <row r="22" spans="1:19" ht="14" x14ac:dyDescent="0.3">
      <c r="A22" s="34" t="s">
        <v>11</v>
      </c>
      <c r="B22" s="34"/>
      <c r="C22" s="29">
        <f>(C20-C19)*C21</f>
        <v>0</v>
      </c>
      <c r="D22" s="29">
        <f t="shared" ref="D22:G22" si="2">(D20-D19)*D21</f>
        <v>-21.500000000000018</v>
      </c>
      <c r="E22" s="29">
        <f t="shared" si="2"/>
        <v>0</v>
      </c>
      <c r="F22" s="29">
        <f t="shared" si="2"/>
        <v>0</v>
      </c>
      <c r="G22" s="29">
        <f t="shared" si="2"/>
        <v>0</v>
      </c>
      <c r="H22" s="29"/>
      <c r="I22" s="29"/>
      <c r="J22" s="29"/>
      <c r="K22" s="29"/>
      <c r="L22" s="29"/>
      <c r="M22" s="48">
        <f>SUM(C22:L22)</f>
        <v>-21.500000000000018</v>
      </c>
      <c r="O22" s="5"/>
      <c r="Q22" s="11"/>
      <c r="S22" s="9"/>
    </row>
    <row r="23" spans="1:19" ht="14" x14ac:dyDescent="0.3">
      <c r="A23" s="34"/>
      <c r="B23" s="34"/>
      <c r="C23" s="45"/>
      <c r="D23" s="45"/>
      <c r="E23" s="45"/>
      <c r="F23" s="45"/>
      <c r="G23" s="45"/>
      <c r="H23" s="45"/>
      <c r="I23" s="45"/>
      <c r="J23" s="45"/>
      <c r="K23" s="45"/>
      <c r="L23" s="45"/>
      <c r="M23" s="46"/>
      <c r="O23" s="5"/>
      <c r="Q23" s="11"/>
      <c r="S23" s="9"/>
    </row>
    <row r="24" spans="1:19" s="38" customFormat="1" ht="14" x14ac:dyDescent="0.3">
      <c r="A24" s="36" t="s">
        <v>26</v>
      </c>
      <c r="B24" s="36"/>
      <c r="C24" s="47">
        <f>C22*C15</f>
        <v>0</v>
      </c>
      <c r="D24" s="47">
        <f t="shared" ref="D24:G24" si="3">D22*D15</f>
        <v>-19.134923460306172</v>
      </c>
      <c r="E24" s="47">
        <f t="shared" si="3"/>
        <v>0</v>
      </c>
      <c r="F24" s="47">
        <f t="shared" si="3"/>
        <v>0</v>
      </c>
      <c r="G24" s="47">
        <f t="shared" si="3"/>
        <v>0</v>
      </c>
      <c r="H24" s="47"/>
      <c r="I24" s="47"/>
      <c r="J24" s="47"/>
      <c r="K24" s="47"/>
      <c r="L24" s="47"/>
      <c r="M24" s="48">
        <f>SUM(C24:L24)</f>
        <v>-19.134923460306172</v>
      </c>
      <c r="O24" s="39"/>
      <c r="Q24" s="40"/>
      <c r="S24" s="41"/>
    </row>
    <row r="25" spans="1:19" ht="14" x14ac:dyDescent="0.3">
      <c r="A25" s="1"/>
      <c r="B25" s="1"/>
      <c r="C25" s="28"/>
      <c r="D25" s="28"/>
      <c r="E25" s="28"/>
      <c r="F25" s="28"/>
      <c r="G25" s="28"/>
      <c r="H25" s="28"/>
      <c r="I25" s="28"/>
      <c r="J25" s="28"/>
      <c r="K25" s="28"/>
      <c r="L25" s="28"/>
      <c r="M25" s="30"/>
      <c r="O25" s="5"/>
      <c r="S25" s="9"/>
    </row>
    <row r="26" spans="1:19" ht="14" x14ac:dyDescent="0.3">
      <c r="A26" s="13" t="s">
        <v>8</v>
      </c>
      <c r="B26" s="13"/>
      <c r="C26" s="31"/>
      <c r="D26" s="31"/>
      <c r="E26" s="31"/>
      <c r="F26" s="31"/>
      <c r="G26" s="31"/>
      <c r="H26" s="31"/>
      <c r="I26" s="31"/>
      <c r="J26" s="31"/>
      <c r="K26" s="31"/>
      <c r="L26" s="31"/>
      <c r="M26" s="10"/>
      <c r="O26" s="5"/>
      <c r="R26" s="11"/>
    </row>
    <row r="27" spans="1:19" s="54" customFormat="1" ht="14" x14ac:dyDescent="0.3">
      <c r="A27" s="1" t="s">
        <v>7</v>
      </c>
      <c r="B27" s="32">
        <f>B22-B14</f>
        <v>-65</v>
      </c>
      <c r="C27" s="32">
        <f>C22-C14</f>
        <v>0</v>
      </c>
      <c r="D27" s="32">
        <f t="shared" ref="D27:G27" si="4">D22-D14</f>
        <v>-21.500000000000018</v>
      </c>
      <c r="E27" s="32">
        <f t="shared" si="4"/>
        <v>0</v>
      </c>
      <c r="F27" s="32">
        <f t="shared" si="4"/>
        <v>0</v>
      </c>
      <c r="G27" s="32">
        <f t="shared" si="4"/>
        <v>0</v>
      </c>
      <c r="H27" s="32"/>
      <c r="I27" s="32"/>
      <c r="J27" s="32"/>
      <c r="K27" s="32"/>
      <c r="L27" s="32"/>
      <c r="M27" s="79">
        <f>SUM(B27:L27)</f>
        <v>-86.500000000000014</v>
      </c>
      <c r="O27" s="55"/>
      <c r="R27" s="80"/>
    </row>
    <row r="28" spans="1:19" ht="14" x14ac:dyDescent="0.3">
      <c r="A28" s="2" t="s">
        <v>20</v>
      </c>
      <c r="B28" s="32">
        <f>B24-B16</f>
        <v>-65</v>
      </c>
      <c r="C28" s="32">
        <f>C24-C16</f>
        <v>0</v>
      </c>
      <c r="D28" s="32">
        <f t="shared" ref="D28:G28" si="5">D24-D16</f>
        <v>-19.134923460306172</v>
      </c>
      <c r="E28" s="32">
        <f t="shared" si="5"/>
        <v>0</v>
      </c>
      <c r="F28" s="32">
        <f t="shared" si="5"/>
        <v>0</v>
      </c>
      <c r="G28" s="32">
        <f t="shared" si="5"/>
        <v>0</v>
      </c>
      <c r="H28" s="32"/>
      <c r="I28" s="32"/>
      <c r="J28" s="32"/>
      <c r="K28" s="32"/>
      <c r="L28" s="32"/>
      <c r="M28" s="58">
        <f>SUM(B28:L28)</f>
        <v>-84.134923460306169</v>
      </c>
      <c r="O28" s="5"/>
      <c r="R28" s="11"/>
    </row>
    <row r="29" spans="1:19" ht="14" x14ac:dyDescent="0.3">
      <c r="A29" s="2" t="s">
        <v>19</v>
      </c>
      <c r="B29" s="32">
        <f>B28</f>
        <v>-65</v>
      </c>
      <c r="C29" s="32">
        <f>B28+C28</f>
        <v>-65</v>
      </c>
      <c r="D29" s="32">
        <f>D28+C29</f>
        <v>-84.134923460306169</v>
      </c>
      <c r="E29" s="32">
        <f t="shared" ref="E29:G29" si="6">E28+D29</f>
        <v>-84.134923460306169</v>
      </c>
      <c r="F29" s="32">
        <f t="shared" si="6"/>
        <v>-84.134923460306169</v>
      </c>
      <c r="G29" s="32">
        <f t="shared" si="6"/>
        <v>-84.134923460306169</v>
      </c>
      <c r="H29" s="32"/>
      <c r="I29" s="32"/>
      <c r="J29" s="32"/>
      <c r="K29" s="32"/>
      <c r="L29" s="32"/>
      <c r="M29" s="58"/>
      <c r="O29" s="5"/>
      <c r="R29" s="11"/>
    </row>
    <row r="30" spans="1:19" s="54" customFormat="1" ht="14" x14ac:dyDescent="0.3">
      <c r="A30" s="1" t="s">
        <v>17</v>
      </c>
      <c r="B30" s="77">
        <f>(SUM(B22)-SUM(B14:B14))/SUM(B14:B14)</f>
        <v>-1</v>
      </c>
      <c r="C30" s="77">
        <f>(SUM($B$22:C22)-SUM($B$14:C14))/SUM($B$14:C14)</f>
        <v>-1</v>
      </c>
      <c r="D30" s="77">
        <f>(SUM($B$22:D22)-SUM($B$14:D14))/SUM($B$14:D14)</f>
        <v>-1.3307692307692309</v>
      </c>
      <c r="E30" s="77">
        <f>(SUM($B$22:E22)-SUM($B$14:E14))/SUM($B$14:E14)</f>
        <v>-1.3307692307692309</v>
      </c>
      <c r="F30" s="77">
        <f>(SUM($B$22:F22)-SUM($B$14:F14))/SUM($B$14:F14)</f>
        <v>-1.3307692307692309</v>
      </c>
      <c r="G30" s="77">
        <f>(SUM($B$22:G22)-SUM($B$14:G14))/SUM($B$14:G14)</f>
        <v>-1.3307692307692309</v>
      </c>
      <c r="H30" s="77"/>
      <c r="I30" s="77"/>
      <c r="J30" s="77"/>
      <c r="K30" s="77"/>
      <c r="L30" s="77"/>
      <c r="M30" s="78">
        <f>(M22-M14)/M14</f>
        <v>-1.3307692307692309</v>
      </c>
    </row>
    <row r="31" spans="1:19" ht="14" x14ac:dyDescent="0.3">
      <c r="A31" s="2" t="s">
        <v>29</v>
      </c>
      <c r="B31" s="20">
        <f>(SUM(B23)-SUM(B15:B15))/SUM(B15:B15)</f>
        <v>-1</v>
      </c>
      <c r="C31" s="20">
        <f>(SUM($B$24:C24)-SUM($B$16:C16))/SUM($B$16:C16)</f>
        <v>-1</v>
      </c>
      <c r="D31" s="20">
        <f>(SUM($B$24:D24)-SUM($B$16:D16))/SUM($B$16:D16)</f>
        <v>-1.2943834378508641</v>
      </c>
      <c r="E31" s="20">
        <f>(SUM($B$24:E24)-SUM($B$16:E16))/SUM($B$16:E16)</f>
        <v>-1.2943834378508641</v>
      </c>
      <c r="F31" s="20">
        <f>(SUM($B$24:F24)-SUM($B$16:F16))/SUM($B$16:F16)</f>
        <v>-1.2943834378508641</v>
      </c>
      <c r="G31" s="20">
        <f>(SUM($B$24:G24)-SUM($B$16:G16))/SUM($B$16:G16)</f>
        <v>-1.2943834378508641</v>
      </c>
      <c r="H31" s="20"/>
      <c r="I31" s="20"/>
      <c r="J31" s="20"/>
      <c r="K31" s="20"/>
      <c r="L31" s="20"/>
      <c r="M31" s="59">
        <f>(M24-M16)/M16</f>
        <v>-1.2943834378508641</v>
      </c>
    </row>
    <row r="32" spans="1:19" ht="14" x14ac:dyDescent="0.3">
      <c r="A32" s="2" t="s">
        <v>18</v>
      </c>
      <c r="B32" s="20"/>
      <c r="C32" s="20"/>
      <c r="D32" s="20"/>
      <c r="E32" s="20"/>
      <c r="F32" s="20"/>
      <c r="G32" s="20"/>
      <c r="H32" s="20"/>
      <c r="I32" s="20"/>
      <c r="J32" s="20"/>
      <c r="K32" s="20"/>
      <c r="L32" s="20"/>
      <c r="M32" s="19">
        <f>M24/M16</f>
        <v>-0.29438343785086418</v>
      </c>
    </row>
    <row r="33" spans="1:15" s="71" customFormat="1" ht="13.9" customHeight="1" x14ac:dyDescent="0.3">
      <c r="A33" s="68" t="s">
        <v>4</v>
      </c>
      <c r="B33" s="68"/>
      <c r="C33" s="69"/>
      <c r="D33" s="69"/>
      <c r="E33" s="69"/>
      <c r="F33" s="69"/>
      <c r="G33" s="69"/>
      <c r="H33" s="69"/>
      <c r="I33" s="69"/>
      <c r="J33" s="69"/>
      <c r="K33" s="69"/>
      <c r="L33" s="69"/>
      <c r="M33" s="70">
        <f>M24-M16</f>
        <v>-84.134923460306169</v>
      </c>
      <c r="O33" s="72"/>
    </row>
    <row r="34" spans="1:15" s="74" customFormat="1" ht="19.899999999999999" customHeight="1" x14ac:dyDescent="0.3">
      <c r="A34" s="73" t="s">
        <v>25</v>
      </c>
      <c r="M34" s="75">
        <f>MIRR(B27:L27,N4,N4)</f>
        <v>-1</v>
      </c>
    </row>
    <row r="36" spans="1:15" x14ac:dyDescent="0.25">
      <c r="A36" s="54" t="s">
        <v>23</v>
      </c>
    </row>
    <row r="37" spans="1:15" x14ac:dyDescent="0.25">
      <c r="A37" s="54" t="s">
        <v>46</v>
      </c>
    </row>
    <row r="39" spans="1:15" x14ac:dyDescent="0.25">
      <c r="B39" t="s">
        <v>31</v>
      </c>
      <c r="C39" t="s">
        <v>32</v>
      </c>
      <c r="D39" t="s">
        <v>33</v>
      </c>
      <c r="E39" t="s">
        <v>34</v>
      </c>
      <c r="F39" t="s">
        <v>35</v>
      </c>
      <c r="G39" t="s">
        <v>36</v>
      </c>
    </row>
    <row r="40" spans="1:15" x14ac:dyDescent="0.25">
      <c r="A40" t="s">
        <v>37</v>
      </c>
      <c r="B40" s="76">
        <f>B28</f>
        <v>-65</v>
      </c>
      <c r="C40" s="76">
        <f>C28+B40</f>
        <v>-65</v>
      </c>
      <c r="D40" s="76">
        <f>D28+C40</f>
        <v>-84.134923460306169</v>
      </c>
      <c r="E40" s="76">
        <f t="shared" ref="E40" si="7">E28+D40</f>
        <v>-84.134923460306169</v>
      </c>
      <c r="F40" s="76"/>
      <c r="G40" s="76"/>
    </row>
  </sheetData>
  <mergeCells count="2">
    <mergeCell ref="A1:N1"/>
    <mergeCell ref="C6:L6"/>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812E9-2CC8-4C73-BB1F-A04B3556AEC5}">
  <dimension ref="A1:V40"/>
  <sheetViews>
    <sheetView topLeftCell="A36" workbookViewId="0">
      <selection activeCell="A55" sqref="A55"/>
    </sheetView>
  </sheetViews>
  <sheetFormatPr defaultRowHeight="12.5" x14ac:dyDescent="0.25"/>
  <cols>
    <col min="1" max="1" width="45.1796875" customWidth="1"/>
    <col min="2" max="2" width="15.7265625" customWidth="1"/>
    <col min="3" max="3" width="21.26953125" customWidth="1"/>
    <col min="4" max="10" width="13" customWidth="1"/>
    <col min="11" max="13" width="14.1796875" customWidth="1"/>
    <col min="14" max="14" width="13.81640625" customWidth="1"/>
    <col min="15" max="15" width="14.26953125" customWidth="1"/>
    <col min="16" max="16" width="3.26953125" customWidth="1"/>
    <col min="18" max="18" width="11.1796875" bestFit="1" customWidth="1"/>
    <col min="19" max="20" width="12.7265625" bestFit="1" customWidth="1"/>
  </cols>
  <sheetData>
    <row r="1" spans="1:22" ht="17.25" customHeight="1" x14ac:dyDescent="0.35">
      <c r="A1" s="84" t="s">
        <v>22</v>
      </c>
      <c r="B1" s="84"/>
      <c r="C1" s="85"/>
      <c r="D1" s="85"/>
      <c r="E1" s="85"/>
      <c r="F1" s="85"/>
      <c r="G1" s="85"/>
      <c r="H1" s="85"/>
      <c r="I1" s="85"/>
      <c r="J1" s="85"/>
      <c r="K1" s="85"/>
      <c r="L1" s="85"/>
      <c r="M1" s="86"/>
      <c r="N1" s="86"/>
      <c r="O1" s="5"/>
      <c r="P1" s="5"/>
      <c r="Q1" s="5"/>
      <c r="R1" s="5"/>
      <c r="S1" s="5"/>
      <c r="T1" s="5"/>
      <c r="U1" s="5"/>
      <c r="V1" s="5"/>
    </row>
    <row r="2" spans="1:22" ht="12.75" customHeight="1" x14ac:dyDescent="0.35">
      <c r="A2" s="3"/>
      <c r="B2" s="3"/>
      <c r="C2" s="4"/>
      <c r="D2" s="4"/>
      <c r="E2" s="4"/>
      <c r="F2" s="4"/>
      <c r="G2" s="4"/>
      <c r="H2" s="4"/>
      <c r="I2" s="4"/>
      <c r="J2" s="4"/>
      <c r="K2" s="4"/>
      <c r="L2" s="4"/>
      <c r="M2" s="4"/>
      <c r="N2" s="5"/>
      <c r="O2" s="5"/>
      <c r="P2" s="5"/>
      <c r="Q2" s="5"/>
      <c r="R2" s="5"/>
      <c r="S2" s="5"/>
      <c r="T2" s="5"/>
      <c r="U2" s="5"/>
      <c r="V2" s="5"/>
    </row>
    <row r="3" spans="1:22" x14ac:dyDescent="0.25">
      <c r="A3" s="5"/>
      <c r="B3" s="5"/>
      <c r="C3" s="5"/>
      <c r="D3" s="5"/>
      <c r="E3" s="55"/>
      <c r="F3" s="5"/>
      <c r="G3" s="5"/>
      <c r="H3" s="5"/>
      <c r="I3" s="5"/>
      <c r="J3" s="5"/>
      <c r="K3" s="5"/>
      <c r="L3" s="5"/>
      <c r="M3" s="5" t="s">
        <v>42</v>
      </c>
      <c r="N3" s="5">
        <v>30</v>
      </c>
      <c r="P3" s="5"/>
    </row>
    <row r="4" spans="1:22" ht="14" x14ac:dyDescent="0.3">
      <c r="A4" s="54" t="s">
        <v>59</v>
      </c>
      <c r="M4" s="14" t="s">
        <v>0</v>
      </c>
      <c r="N4" s="15">
        <v>0.06</v>
      </c>
      <c r="O4" s="7"/>
      <c r="P4" s="5"/>
    </row>
    <row r="5" spans="1:22" ht="10.5" customHeight="1" thickBot="1" x14ac:dyDescent="0.35">
      <c r="A5" s="8"/>
      <c r="B5" s="8"/>
      <c r="C5" s="6"/>
      <c r="D5" s="6"/>
      <c r="E5" s="6"/>
      <c r="F5" s="6"/>
      <c r="G5" s="6"/>
      <c r="H5" s="6"/>
      <c r="I5" s="6"/>
      <c r="J5" s="6"/>
      <c r="K5" s="6"/>
      <c r="L5" s="6"/>
      <c r="M5" s="6"/>
      <c r="N5" s="6"/>
      <c r="O5" s="6"/>
      <c r="P5" s="5"/>
    </row>
    <row r="6" spans="1:22" ht="14" x14ac:dyDescent="0.3">
      <c r="A6" s="16"/>
      <c r="B6" s="16"/>
      <c r="C6" s="82" t="s">
        <v>16</v>
      </c>
      <c r="D6" s="82"/>
      <c r="E6" s="82"/>
      <c r="F6" s="82"/>
      <c r="G6" s="82"/>
      <c r="H6" s="82"/>
      <c r="I6" s="82"/>
      <c r="J6" s="82"/>
      <c r="K6" s="82"/>
      <c r="L6" s="83"/>
      <c r="M6" s="18" t="s">
        <v>1</v>
      </c>
      <c r="O6" s="5"/>
    </row>
    <row r="7" spans="1:22" ht="14" x14ac:dyDescent="0.3">
      <c r="B7" s="62">
        <v>0</v>
      </c>
      <c r="C7" s="12">
        <v>1</v>
      </c>
      <c r="D7" s="12">
        <v>2</v>
      </c>
      <c r="E7" s="12">
        <v>3</v>
      </c>
      <c r="F7" s="12">
        <v>4</v>
      </c>
      <c r="G7" s="12">
        <v>5</v>
      </c>
      <c r="H7" s="12">
        <v>6</v>
      </c>
      <c r="I7" s="12">
        <v>7</v>
      </c>
      <c r="J7" s="12">
        <v>8</v>
      </c>
      <c r="K7" s="12">
        <v>9</v>
      </c>
      <c r="L7" s="12">
        <v>10</v>
      </c>
      <c r="M7" s="17" t="s">
        <v>2</v>
      </c>
      <c r="O7" s="5"/>
    </row>
    <row r="8" spans="1:22" ht="14" x14ac:dyDescent="0.3">
      <c r="A8" s="13" t="s">
        <v>27</v>
      </c>
      <c r="B8" s="13"/>
      <c r="C8" s="81" t="s">
        <v>39</v>
      </c>
      <c r="D8" s="81" t="s">
        <v>38</v>
      </c>
      <c r="E8" s="81"/>
      <c r="F8" s="1"/>
      <c r="G8" s="1"/>
      <c r="H8" s="1"/>
      <c r="I8" s="1"/>
      <c r="J8" s="1"/>
      <c r="K8" s="1"/>
      <c r="L8" s="1"/>
      <c r="O8" s="5"/>
    </row>
    <row r="9" spans="1:22" ht="14" x14ac:dyDescent="0.3">
      <c r="A9" s="34" t="s">
        <v>10</v>
      </c>
      <c r="B9" s="60">
        <v>85</v>
      </c>
      <c r="C9" s="21"/>
      <c r="D9" s="21"/>
      <c r="E9" s="21"/>
      <c r="F9" s="21"/>
      <c r="G9" s="21"/>
      <c r="H9" s="21"/>
      <c r="I9" s="21"/>
      <c r="J9" s="21"/>
      <c r="K9" s="21"/>
      <c r="L9" s="21"/>
      <c r="M9" s="26"/>
      <c r="O9" s="5"/>
      <c r="S9" s="9"/>
    </row>
    <row r="10" spans="1:22" ht="14" x14ac:dyDescent="0.3">
      <c r="A10" s="42" t="s">
        <v>21</v>
      </c>
      <c r="B10" s="61">
        <v>0</v>
      </c>
      <c r="C10" s="22"/>
      <c r="D10" s="22">
        <v>0</v>
      </c>
      <c r="E10" s="22"/>
      <c r="F10" s="22"/>
      <c r="G10" s="22"/>
      <c r="H10" s="22"/>
      <c r="I10" s="22"/>
      <c r="J10" s="22"/>
      <c r="K10" s="22"/>
      <c r="L10" s="22"/>
      <c r="M10" s="27"/>
      <c r="O10" s="5"/>
      <c r="Q10" s="11"/>
      <c r="S10" s="9"/>
    </row>
    <row r="11" spans="1:22" ht="14" x14ac:dyDescent="0.3">
      <c r="A11" s="42" t="s">
        <v>15</v>
      </c>
      <c r="B11" s="64"/>
      <c r="C11" s="25">
        <v>0</v>
      </c>
      <c r="D11" s="25">
        <v>0</v>
      </c>
      <c r="E11" s="25"/>
      <c r="F11" s="25"/>
      <c r="G11" s="25"/>
      <c r="H11" s="25"/>
      <c r="I11" s="25"/>
      <c r="J11" s="25"/>
      <c r="K11" s="25"/>
      <c r="L11" s="25"/>
      <c r="M11" s="27"/>
      <c r="O11" s="5"/>
      <c r="Q11" s="11"/>
      <c r="S11" s="9"/>
    </row>
    <row r="12" spans="1:22" ht="14" x14ac:dyDescent="0.3">
      <c r="A12" s="34" t="s">
        <v>50</v>
      </c>
      <c r="B12" s="60"/>
      <c r="C12" s="25"/>
      <c r="D12" s="25">
        <f>(C20-C19)*$N$3</f>
        <v>5.9999999999999982</v>
      </c>
      <c r="E12" s="25"/>
      <c r="F12" s="25"/>
      <c r="G12" s="25"/>
      <c r="H12" s="25"/>
      <c r="I12" s="25"/>
      <c r="J12" s="25"/>
      <c r="K12" s="25"/>
      <c r="L12" s="25"/>
      <c r="M12" s="27"/>
      <c r="O12" s="5"/>
      <c r="Q12" s="11"/>
      <c r="S12" s="9"/>
    </row>
    <row r="13" spans="1:22" ht="14" x14ac:dyDescent="0.3">
      <c r="A13" s="34" t="s">
        <v>9</v>
      </c>
      <c r="B13" s="60"/>
      <c r="C13" s="25"/>
      <c r="D13" s="25"/>
      <c r="E13" s="25"/>
      <c r="F13" s="25"/>
      <c r="G13" s="25"/>
      <c r="H13" s="25"/>
      <c r="I13" s="25"/>
      <c r="J13" s="25"/>
      <c r="K13" s="25"/>
      <c r="L13" s="25"/>
      <c r="M13" s="27"/>
      <c r="O13" s="5"/>
      <c r="Q13" s="11"/>
      <c r="S13" s="9"/>
    </row>
    <row r="14" spans="1:22" ht="14" x14ac:dyDescent="0.3">
      <c r="A14" s="36" t="s">
        <v>3</v>
      </c>
      <c r="B14" s="66">
        <f>SUM(B9:B13)</f>
        <v>85</v>
      </c>
      <c r="C14" s="23">
        <f>SUM(C9:C13)</f>
        <v>0</v>
      </c>
      <c r="D14" s="23">
        <f t="shared" ref="D14:G14" si="0">SUM(D9:D13)</f>
        <v>5.9999999999999982</v>
      </c>
      <c r="E14" s="23">
        <f>SUM(E9:E13)</f>
        <v>0</v>
      </c>
      <c r="F14" s="23">
        <f t="shared" si="0"/>
        <v>0</v>
      </c>
      <c r="G14" s="23">
        <f t="shared" si="0"/>
        <v>0</v>
      </c>
      <c r="H14" s="23"/>
      <c r="I14" s="23"/>
      <c r="J14" s="23"/>
      <c r="K14" s="23"/>
      <c r="L14" s="23"/>
      <c r="M14" s="57">
        <f>SUM(B14:L14)</f>
        <v>91</v>
      </c>
      <c r="O14" s="5"/>
      <c r="Q14" s="11"/>
      <c r="S14" s="9"/>
    </row>
    <row r="15" spans="1:22" ht="14" x14ac:dyDescent="0.3">
      <c r="A15" s="34" t="s">
        <v>5</v>
      </c>
      <c r="B15" s="65">
        <v>1</v>
      </c>
      <c r="C15" s="24">
        <f>1/(1+$N$4)^C7</f>
        <v>0.94339622641509424</v>
      </c>
      <c r="D15" s="24">
        <f>1/(1+$N$4)^D7</f>
        <v>0.88999644001423983</v>
      </c>
      <c r="E15" s="24"/>
      <c r="F15" s="24"/>
      <c r="G15" s="24"/>
      <c r="H15" s="24"/>
      <c r="I15" s="24"/>
      <c r="J15" s="24"/>
      <c r="K15" s="24"/>
      <c r="L15" s="24"/>
      <c r="M15" s="57"/>
      <c r="O15" s="5"/>
      <c r="Q15" s="11"/>
      <c r="S15" s="9"/>
    </row>
    <row r="16" spans="1:22" s="38" customFormat="1" ht="14" x14ac:dyDescent="0.3">
      <c r="A16" s="36" t="s">
        <v>6</v>
      </c>
      <c r="B16" s="63">
        <f>B14*B15</f>
        <v>85</v>
      </c>
      <c r="C16" s="56">
        <f>C14*C15</f>
        <v>0</v>
      </c>
      <c r="D16" s="56">
        <f t="shared" ref="D16:G16" si="1">D14*D15</f>
        <v>5.3399786400854374</v>
      </c>
      <c r="E16" s="56">
        <f t="shared" si="1"/>
        <v>0</v>
      </c>
      <c r="F16" s="56">
        <f t="shared" si="1"/>
        <v>0</v>
      </c>
      <c r="G16" s="56">
        <f t="shared" si="1"/>
        <v>0</v>
      </c>
      <c r="H16" s="56"/>
      <c r="I16" s="56"/>
      <c r="J16" s="56"/>
      <c r="K16" s="56"/>
      <c r="L16" s="56"/>
      <c r="M16" s="57">
        <f>SUM(B16:L16)</f>
        <v>90.339978640085434</v>
      </c>
      <c r="O16" s="39"/>
      <c r="Q16" s="40"/>
      <c r="S16" s="41"/>
    </row>
    <row r="17" spans="1:19" ht="14" x14ac:dyDescent="0.3">
      <c r="A17" s="34"/>
      <c r="B17" s="34"/>
      <c r="C17" s="28"/>
      <c r="D17" s="28"/>
      <c r="E17" s="28"/>
      <c r="F17" s="28"/>
      <c r="G17" s="28"/>
      <c r="H17" s="28"/>
      <c r="I17" s="28"/>
      <c r="J17" s="28"/>
      <c r="K17" s="28"/>
      <c r="L17" s="28"/>
      <c r="M17" s="26"/>
      <c r="O17" s="5"/>
      <c r="Q17" s="11"/>
      <c r="S17" s="9"/>
    </row>
    <row r="18" spans="1:19" ht="14" x14ac:dyDescent="0.3">
      <c r="A18" s="35" t="s">
        <v>28</v>
      </c>
      <c r="B18" s="35"/>
      <c r="C18" s="29"/>
      <c r="D18" s="29"/>
      <c r="E18" s="29"/>
      <c r="F18" s="29"/>
      <c r="G18" s="29"/>
      <c r="H18" s="29"/>
      <c r="I18" s="29"/>
      <c r="J18" s="29"/>
      <c r="K18" s="29"/>
      <c r="L18" s="29"/>
      <c r="M18" s="30"/>
      <c r="O18" s="5"/>
      <c r="Q18" s="11"/>
      <c r="S18" s="9"/>
    </row>
    <row r="19" spans="1:19" ht="14" x14ac:dyDescent="0.3">
      <c r="A19" s="34" t="s">
        <v>14</v>
      </c>
      <c r="B19" s="34"/>
      <c r="C19" s="43">
        <v>0.4</v>
      </c>
      <c r="D19" s="43">
        <v>0.8</v>
      </c>
      <c r="E19" s="43"/>
      <c r="F19" s="43"/>
      <c r="G19" s="43"/>
      <c r="H19" s="43"/>
      <c r="I19" s="43"/>
      <c r="J19" s="43"/>
      <c r="K19" s="43"/>
      <c r="L19" s="43"/>
      <c r="M19" s="37">
        <f>SUM(C19:L19)</f>
        <v>1.2000000000000002</v>
      </c>
      <c r="O19" s="5"/>
      <c r="Q19" s="11"/>
      <c r="S19" s="9"/>
    </row>
    <row r="20" spans="1:19" ht="14" x14ac:dyDescent="0.3">
      <c r="A20" s="34" t="s">
        <v>13</v>
      </c>
      <c r="B20" s="34"/>
      <c r="C20" s="43">
        <v>0.6</v>
      </c>
      <c r="D20" s="43">
        <v>0.3</v>
      </c>
      <c r="E20" s="43"/>
      <c r="F20" s="43"/>
      <c r="G20" s="43"/>
      <c r="H20" s="43"/>
      <c r="I20" s="43"/>
      <c r="J20" s="43"/>
      <c r="K20" s="43"/>
      <c r="L20" s="43"/>
      <c r="M20" s="37">
        <f>SUM(C20:L20)</f>
        <v>0.89999999999999991</v>
      </c>
      <c r="O20" s="5"/>
      <c r="Q20" s="11"/>
      <c r="S20" s="9"/>
    </row>
    <row r="21" spans="1:19" ht="14" x14ac:dyDescent="0.3">
      <c r="A21" s="34" t="s">
        <v>30</v>
      </c>
      <c r="B21" s="34"/>
      <c r="C21" s="44">
        <v>255</v>
      </c>
      <c r="D21" s="44">
        <v>215</v>
      </c>
      <c r="E21" s="44"/>
      <c r="F21" s="44"/>
      <c r="G21" s="44"/>
      <c r="H21" s="44"/>
      <c r="I21" s="44"/>
      <c r="J21" s="44"/>
      <c r="K21" s="44"/>
      <c r="L21" s="44"/>
      <c r="M21" s="30"/>
      <c r="O21" s="5"/>
      <c r="Q21" s="11"/>
      <c r="S21" s="9"/>
    </row>
    <row r="22" spans="1:19" ht="14" x14ac:dyDescent="0.3">
      <c r="A22" s="34" t="s">
        <v>11</v>
      </c>
      <c r="B22" s="34"/>
      <c r="C22" s="29">
        <f>(C20-C19)*C21</f>
        <v>50.999999999999986</v>
      </c>
      <c r="D22" s="29">
        <f t="shared" ref="D22:G22" si="2">(D20-D19)*D21</f>
        <v>-107.5</v>
      </c>
      <c r="E22" s="29">
        <f t="shared" si="2"/>
        <v>0</v>
      </c>
      <c r="F22" s="29">
        <f t="shared" si="2"/>
        <v>0</v>
      </c>
      <c r="G22" s="29">
        <f t="shared" si="2"/>
        <v>0</v>
      </c>
      <c r="H22" s="29"/>
      <c r="I22" s="29"/>
      <c r="J22" s="29"/>
      <c r="K22" s="29"/>
      <c r="L22" s="29"/>
      <c r="M22" s="48">
        <f>SUM(C22:L22)</f>
        <v>-56.500000000000014</v>
      </c>
      <c r="O22" s="5"/>
      <c r="Q22" s="11"/>
      <c r="S22" s="9"/>
    </row>
    <row r="23" spans="1:19" ht="14" x14ac:dyDescent="0.3">
      <c r="A23" s="34"/>
      <c r="B23" s="34"/>
      <c r="C23" s="45"/>
      <c r="D23" s="45"/>
      <c r="E23" s="45"/>
      <c r="F23" s="45"/>
      <c r="G23" s="45"/>
      <c r="H23" s="45"/>
      <c r="I23" s="45"/>
      <c r="J23" s="45"/>
      <c r="K23" s="45"/>
      <c r="L23" s="45"/>
      <c r="M23" s="46"/>
      <c r="O23" s="5"/>
      <c r="Q23" s="11"/>
      <c r="S23" s="9"/>
    </row>
    <row r="24" spans="1:19" s="38" customFormat="1" ht="14" x14ac:dyDescent="0.3">
      <c r="A24" s="36" t="s">
        <v>26</v>
      </c>
      <c r="B24" s="36"/>
      <c r="C24" s="47">
        <f>C22*C15</f>
        <v>48.113207547169793</v>
      </c>
      <c r="D24" s="47">
        <f t="shared" ref="D24:G24" si="3">D22*D15</f>
        <v>-95.674617301530787</v>
      </c>
      <c r="E24" s="47">
        <f t="shared" si="3"/>
        <v>0</v>
      </c>
      <c r="F24" s="47">
        <f t="shared" si="3"/>
        <v>0</v>
      </c>
      <c r="G24" s="47">
        <f t="shared" si="3"/>
        <v>0</v>
      </c>
      <c r="H24" s="47"/>
      <c r="I24" s="47"/>
      <c r="J24" s="47"/>
      <c r="K24" s="47"/>
      <c r="L24" s="47"/>
      <c r="M24" s="48">
        <f>SUM(C24:L24)</f>
        <v>-47.561409754360994</v>
      </c>
      <c r="O24" s="39"/>
      <c r="Q24" s="40"/>
      <c r="S24" s="41"/>
    </row>
    <row r="25" spans="1:19" ht="14" x14ac:dyDescent="0.3">
      <c r="A25" s="1"/>
      <c r="B25" s="1"/>
      <c r="C25" s="28"/>
      <c r="D25" s="28"/>
      <c r="E25" s="28"/>
      <c r="F25" s="28"/>
      <c r="G25" s="28"/>
      <c r="H25" s="28"/>
      <c r="I25" s="28"/>
      <c r="J25" s="28"/>
      <c r="K25" s="28"/>
      <c r="L25" s="28"/>
      <c r="M25" s="30"/>
      <c r="O25" s="5"/>
      <c r="S25" s="9"/>
    </row>
    <row r="26" spans="1:19" ht="14" x14ac:dyDescent="0.3">
      <c r="A26" s="13" t="s">
        <v>8</v>
      </c>
      <c r="B26" s="13"/>
      <c r="C26" s="31"/>
      <c r="D26" s="31"/>
      <c r="E26" s="31"/>
      <c r="F26" s="31"/>
      <c r="G26" s="31"/>
      <c r="H26" s="31"/>
      <c r="I26" s="31"/>
      <c r="J26" s="31"/>
      <c r="K26" s="31"/>
      <c r="L26" s="31"/>
      <c r="M26" s="10"/>
      <c r="O26" s="5"/>
      <c r="R26" s="11"/>
    </row>
    <row r="27" spans="1:19" s="54" customFormat="1" ht="14" x14ac:dyDescent="0.3">
      <c r="A27" s="1" t="s">
        <v>7</v>
      </c>
      <c r="B27" s="32">
        <f>B22-B14</f>
        <v>-85</v>
      </c>
      <c r="C27" s="32">
        <f>C22-C14</f>
        <v>50.999999999999986</v>
      </c>
      <c r="D27" s="32">
        <f t="shared" ref="D27:G27" si="4">D22-D14</f>
        <v>-113.5</v>
      </c>
      <c r="E27" s="32">
        <f t="shared" si="4"/>
        <v>0</v>
      </c>
      <c r="F27" s="32">
        <f t="shared" si="4"/>
        <v>0</v>
      </c>
      <c r="G27" s="32">
        <f t="shared" si="4"/>
        <v>0</v>
      </c>
      <c r="H27" s="32"/>
      <c r="I27" s="32"/>
      <c r="J27" s="32"/>
      <c r="K27" s="32"/>
      <c r="L27" s="32"/>
      <c r="M27" s="79">
        <f>SUM(B27:L27)</f>
        <v>-147.5</v>
      </c>
      <c r="O27" s="55"/>
      <c r="R27" s="80"/>
    </row>
    <row r="28" spans="1:19" ht="14" x14ac:dyDescent="0.3">
      <c r="A28" s="2" t="s">
        <v>20</v>
      </c>
      <c r="B28" s="32">
        <f>B24-B16</f>
        <v>-85</v>
      </c>
      <c r="C28" s="32">
        <f>C24-C16</f>
        <v>48.113207547169793</v>
      </c>
      <c r="D28" s="32">
        <f t="shared" ref="D28:G28" si="5">D24-D16</f>
        <v>-101.01459594161622</v>
      </c>
      <c r="E28" s="32">
        <f t="shared" si="5"/>
        <v>0</v>
      </c>
      <c r="F28" s="32">
        <f t="shared" si="5"/>
        <v>0</v>
      </c>
      <c r="G28" s="32">
        <f t="shared" si="5"/>
        <v>0</v>
      </c>
      <c r="H28" s="32"/>
      <c r="I28" s="32"/>
      <c r="J28" s="32"/>
      <c r="K28" s="32"/>
      <c r="L28" s="32"/>
      <c r="M28" s="58">
        <f>SUM(B28:L28)</f>
        <v>-137.90138839444643</v>
      </c>
      <c r="O28" s="5"/>
      <c r="R28" s="11"/>
    </row>
    <row r="29" spans="1:19" ht="14" x14ac:dyDescent="0.3">
      <c r="A29" s="2" t="s">
        <v>19</v>
      </c>
      <c r="B29" s="32">
        <f>B28</f>
        <v>-85</v>
      </c>
      <c r="C29" s="32">
        <f>B28+C28</f>
        <v>-36.886792452830207</v>
      </c>
      <c r="D29" s="32">
        <f>D28+C29</f>
        <v>-137.90138839444643</v>
      </c>
      <c r="E29" s="32">
        <f t="shared" ref="E29:G29" si="6">E28+D29</f>
        <v>-137.90138839444643</v>
      </c>
      <c r="F29" s="32">
        <f t="shared" si="6"/>
        <v>-137.90138839444643</v>
      </c>
      <c r="G29" s="32">
        <f t="shared" si="6"/>
        <v>-137.90138839444643</v>
      </c>
      <c r="H29" s="32"/>
      <c r="I29" s="32"/>
      <c r="J29" s="32"/>
      <c r="K29" s="32"/>
      <c r="L29" s="32"/>
      <c r="M29" s="58"/>
      <c r="O29" s="5"/>
      <c r="R29" s="11"/>
    </row>
    <row r="30" spans="1:19" s="54" customFormat="1" ht="14" x14ac:dyDescent="0.3">
      <c r="A30" s="1" t="s">
        <v>17</v>
      </c>
      <c r="B30" s="77">
        <f>(SUM(B22)-SUM(B14:B14))/SUM(B14:B14)</f>
        <v>-1</v>
      </c>
      <c r="C30" s="77">
        <f>(SUM($B$22:C22)-SUM($B$14:C14))/SUM($B$14:C14)</f>
        <v>-0.40000000000000019</v>
      </c>
      <c r="D30" s="77">
        <f>(SUM($B$22:D22)-SUM($B$14:D14))/SUM($B$14:D14)</f>
        <v>-1.6208791208791209</v>
      </c>
      <c r="E30" s="77">
        <f>(SUM($B$22:E22)-SUM($B$14:E14))/SUM($B$14:E14)</f>
        <v>-1.6208791208791209</v>
      </c>
      <c r="F30" s="77">
        <f>(SUM($B$22:F22)-SUM($B$14:F14))/SUM($B$14:F14)</f>
        <v>-1.6208791208791209</v>
      </c>
      <c r="G30" s="77">
        <f>(SUM($B$22:G22)-SUM($B$14:G14))/SUM($B$14:G14)</f>
        <v>-1.6208791208791209</v>
      </c>
      <c r="H30" s="77"/>
      <c r="I30" s="77"/>
      <c r="J30" s="77"/>
      <c r="K30" s="77"/>
      <c r="L30" s="77"/>
      <c r="M30" s="78">
        <f>(M22-M14)/M14</f>
        <v>-1.6208791208791209</v>
      </c>
    </row>
    <row r="31" spans="1:19" ht="14" x14ac:dyDescent="0.3">
      <c r="A31" s="2" t="s">
        <v>29</v>
      </c>
      <c r="B31" s="20">
        <f>(SUM(B23)-SUM(B15:B15))/SUM(B15:B15)</f>
        <v>-1</v>
      </c>
      <c r="C31" s="20">
        <f>(SUM($B$24:C24)-SUM($B$16:C16))/SUM($B$16:C16)</f>
        <v>-0.43396226415094363</v>
      </c>
      <c r="D31" s="20">
        <f>(SUM($B$24:D24)-SUM($B$16:D16))/SUM($B$16:D16)</f>
        <v>-1.5264713415955709</v>
      </c>
      <c r="E31" s="20">
        <f>(SUM($B$24:E24)-SUM($B$16:E16))/SUM($B$16:E16)</f>
        <v>-1.5264713415955709</v>
      </c>
      <c r="F31" s="20">
        <f>(SUM($B$24:F24)-SUM($B$16:F16))/SUM($B$16:F16)</f>
        <v>-1.5264713415955709</v>
      </c>
      <c r="G31" s="20">
        <f>(SUM($B$24:G24)-SUM($B$16:G16))/SUM($B$16:G16)</f>
        <v>-1.5264713415955709</v>
      </c>
      <c r="H31" s="20"/>
      <c r="I31" s="20"/>
      <c r="J31" s="20"/>
      <c r="K31" s="20"/>
      <c r="L31" s="20"/>
      <c r="M31" s="59">
        <f>(M24-M16)/M16</f>
        <v>-1.5264713415955709</v>
      </c>
    </row>
    <row r="32" spans="1:19" ht="14" x14ac:dyDescent="0.3">
      <c r="A32" s="2" t="s">
        <v>18</v>
      </c>
      <c r="B32" s="20"/>
      <c r="C32" s="20"/>
      <c r="D32" s="20"/>
      <c r="E32" s="20"/>
      <c r="F32" s="20"/>
      <c r="G32" s="20"/>
      <c r="H32" s="20"/>
      <c r="I32" s="20"/>
      <c r="J32" s="20"/>
      <c r="K32" s="20"/>
      <c r="L32" s="20"/>
      <c r="M32" s="19">
        <f>M24/M16</f>
        <v>-0.52647134159557085</v>
      </c>
    </row>
    <row r="33" spans="1:15" s="71" customFormat="1" ht="13.9" customHeight="1" x14ac:dyDescent="0.3">
      <c r="A33" s="68" t="s">
        <v>4</v>
      </c>
      <c r="B33" s="68"/>
      <c r="C33" s="69"/>
      <c r="D33" s="69"/>
      <c r="E33" s="69"/>
      <c r="F33" s="69"/>
      <c r="G33" s="69"/>
      <c r="H33" s="69"/>
      <c r="I33" s="69"/>
      <c r="J33" s="69"/>
      <c r="K33" s="69"/>
      <c r="L33" s="69"/>
      <c r="M33" s="70">
        <f>M24-M16</f>
        <v>-137.90138839444643</v>
      </c>
      <c r="O33" s="72"/>
    </row>
    <row r="34" spans="1:15" s="74" customFormat="1" ht="19.899999999999999" customHeight="1" x14ac:dyDescent="0.3">
      <c r="A34" s="73" t="s">
        <v>25</v>
      </c>
      <c r="M34" s="75">
        <f>MIRR(B27:L27,N4,N4)</f>
        <v>-0.1911847655972273</v>
      </c>
    </row>
    <row r="36" spans="1:15" x14ac:dyDescent="0.25">
      <c r="A36" s="54" t="s">
        <v>23</v>
      </c>
    </row>
    <row r="37" spans="1:15" x14ac:dyDescent="0.25">
      <c r="A37" s="54" t="s">
        <v>46</v>
      </c>
    </row>
    <row r="39" spans="1:15" x14ac:dyDescent="0.25">
      <c r="B39" t="s">
        <v>31</v>
      </c>
      <c r="C39" t="s">
        <v>32</v>
      </c>
      <c r="D39" t="s">
        <v>33</v>
      </c>
      <c r="E39" t="s">
        <v>34</v>
      </c>
      <c r="F39" t="s">
        <v>35</v>
      </c>
      <c r="G39" t="s">
        <v>36</v>
      </c>
    </row>
    <row r="40" spans="1:15" x14ac:dyDescent="0.25">
      <c r="A40" t="s">
        <v>37</v>
      </c>
      <c r="B40" s="76">
        <f>B28</f>
        <v>-85</v>
      </c>
      <c r="C40" s="76">
        <f>C28+B40</f>
        <v>-36.886792452830207</v>
      </c>
      <c r="D40" s="76">
        <f>D28+C40</f>
        <v>-137.90138839444643</v>
      </c>
      <c r="E40" s="76">
        <f t="shared" ref="E40" si="7">E28+D40</f>
        <v>-137.90138839444643</v>
      </c>
      <c r="F40" s="76"/>
      <c r="G40" s="76"/>
    </row>
  </sheetData>
  <mergeCells count="2">
    <mergeCell ref="A1:N1"/>
    <mergeCell ref="C6:L6"/>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C51BD-5446-4AF9-8201-26CB5174C23C}">
  <dimension ref="A1:V40"/>
  <sheetViews>
    <sheetView topLeftCell="L13" zoomScale="86" zoomScaleNormal="86" workbookViewId="0">
      <selection sqref="A1:XFD1048576"/>
    </sheetView>
  </sheetViews>
  <sheetFormatPr defaultRowHeight="12.5" x14ac:dyDescent="0.25"/>
  <cols>
    <col min="1" max="1" width="45.1796875" customWidth="1"/>
    <col min="2" max="2" width="15.7265625" customWidth="1"/>
    <col min="3" max="3" width="21.26953125" customWidth="1"/>
    <col min="4" max="10" width="13" customWidth="1"/>
    <col min="11" max="13" width="14.1796875" customWidth="1"/>
    <col min="14" max="14" width="13.81640625" customWidth="1"/>
    <col min="15" max="15" width="14.26953125" customWidth="1"/>
    <col min="16" max="16" width="3.26953125" customWidth="1"/>
    <col min="18" max="18" width="11.1796875" bestFit="1" customWidth="1"/>
    <col min="19" max="20" width="12.7265625" bestFit="1" customWidth="1"/>
  </cols>
  <sheetData>
    <row r="1" spans="1:22" ht="17.25" customHeight="1" x14ac:dyDescent="0.35">
      <c r="A1" s="84" t="s">
        <v>22</v>
      </c>
      <c r="B1" s="84"/>
      <c r="C1" s="85"/>
      <c r="D1" s="85"/>
      <c r="E1" s="85"/>
      <c r="F1" s="85"/>
      <c r="G1" s="85"/>
      <c r="H1" s="85"/>
      <c r="I1" s="85"/>
      <c r="J1" s="85"/>
      <c r="K1" s="85"/>
      <c r="L1" s="85"/>
      <c r="M1" s="86"/>
      <c r="N1" s="86"/>
      <c r="O1" s="5"/>
      <c r="P1" s="5"/>
      <c r="Q1" s="5"/>
      <c r="R1" s="5"/>
      <c r="S1" s="5"/>
      <c r="T1" s="5"/>
      <c r="U1" s="5"/>
      <c r="V1" s="5"/>
    </row>
    <row r="2" spans="1:22" ht="12.75" customHeight="1" x14ac:dyDescent="0.35">
      <c r="A2" s="3"/>
      <c r="B2" s="3"/>
      <c r="C2" s="4"/>
      <c r="D2" s="4"/>
      <c r="E2" s="4"/>
      <c r="F2" s="4"/>
      <c r="G2" s="4"/>
      <c r="H2" s="4"/>
      <c r="I2" s="4"/>
      <c r="J2" s="4"/>
      <c r="K2" s="4"/>
      <c r="L2" s="4"/>
      <c r="M2" s="4"/>
      <c r="N2" s="5"/>
      <c r="O2" s="5"/>
      <c r="P2" s="5"/>
      <c r="Q2" s="5"/>
      <c r="R2" s="5"/>
      <c r="S2" s="5"/>
      <c r="T2" s="5"/>
      <c r="U2" s="5"/>
      <c r="V2" s="5"/>
    </row>
    <row r="3" spans="1:22" x14ac:dyDescent="0.25">
      <c r="A3" s="5"/>
      <c r="B3" s="5"/>
      <c r="C3" s="5"/>
      <c r="D3" s="5"/>
      <c r="E3" s="55"/>
      <c r="F3" s="5"/>
      <c r="G3" s="5"/>
      <c r="H3" s="5"/>
      <c r="I3" s="5"/>
      <c r="J3" s="5"/>
      <c r="K3" s="5"/>
      <c r="L3" s="5"/>
      <c r="M3" s="5" t="s">
        <v>42</v>
      </c>
      <c r="N3" s="5">
        <v>30</v>
      </c>
      <c r="P3" s="5"/>
    </row>
    <row r="4" spans="1:22" ht="14" x14ac:dyDescent="0.3">
      <c r="A4" s="54" t="s">
        <v>60</v>
      </c>
      <c r="M4" s="14" t="s">
        <v>0</v>
      </c>
      <c r="N4" s="15">
        <v>0.06</v>
      </c>
      <c r="O4" s="7"/>
      <c r="P4" s="5"/>
    </row>
    <row r="5" spans="1:22" ht="10.5" customHeight="1" thickBot="1" x14ac:dyDescent="0.35">
      <c r="A5" s="8"/>
      <c r="B5" s="8"/>
      <c r="C5" s="6"/>
      <c r="D5" s="6"/>
      <c r="E5" s="6"/>
      <c r="F5" s="6"/>
      <c r="G5" s="6"/>
      <c r="H5" s="6"/>
      <c r="I5" s="6"/>
      <c r="J5" s="6"/>
      <c r="K5" s="6"/>
      <c r="L5" s="6"/>
      <c r="M5" s="6"/>
      <c r="N5" s="6"/>
      <c r="O5" s="6"/>
      <c r="P5" s="5"/>
    </row>
    <row r="6" spans="1:22" ht="14" x14ac:dyDescent="0.3">
      <c r="A6" s="16"/>
      <c r="B6" s="16"/>
      <c r="C6" s="82" t="s">
        <v>16</v>
      </c>
      <c r="D6" s="82"/>
      <c r="E6" s="82"/>
      <c r="F6" s="82"/>
      <c r="G6" s="82"/>
      <c r="H6" s="82"/>
      <c r="I6" s="82"/>
      <c r="J6" s="82"/>
      <c r="K6" s="82"/>
      <c r="L6" s="83"/>
      <c r="M6" s="18" t="s">
        <v>1</v>
      </c>
      <c r="O6" s="5"/>
    </row>
    <row r="7" spans="1:22" ht="14" x14ac:dyDescent="0.3">
      <c r="B7" s="62">
        <v>0</v>
      </c>
      <c r="C7" s="12">
        <v>1</v>
      </c>
      <c r="D7" s="12">
        <v>2</v>
      </c>
      <c r="E7" s="12">
        <v>3</v>
      </c>
      <c r="F7" s="12">
        <v>4</v>
      </c>
      <c r="G7" s="12">
        <v>5</v>
      </c>
      <c r="H7" s="12">
        <v>6</v>
      </c>
      <c r="I7" s="12">
        <v>7</v>
      </c>
      <c r="J7" s="12">
        <v>8</v>
      </c>
      <c r="K7" s="12">
        <v>9</v>
      </c>
      <c r="L7" s="12">
        <v>10</v>
      </c>
      <c r="M7" s="17" t="s">
        <v>2</v>
      </c>
      <c r="O7" s="5"/>
    </row>
    <row r="8" spans="1:22" ht="14" x14ac:dyDescent="0.3">
      <c r="A8" s="13" t="s">
        <v>27</v>
      </c>
      <c r="B8" s="13"/>
      <c r="C8" s="81" t="s">
        <v>39</v>
      </c>
      <c r="D8" s="81" t="s">
        <v>38</v>
      </c>
      <c r="E8" s="81"/>
      <c r="F8" s="1"/>
      <c r="G8" s="1"/>
      <c r="H8" s="1"/>
      <c r="I8" s="1"/>
      <c r="J8" s="1"/>
      <c r="K8" s="1"/>
      <c r="L8" s="1"/>
      <c r="O8" s="5"/>
    </row>
    <row r="9" spans="1:22" ht="14" x14ac:dyDescent="0.3">
      <c r="A9" s="34" t="s">
        <v>10</v>
      </c>
      <c r="B9" s="60">
        <v>85</v>
      </c>
      <c r="C9" s="21"/>
      <c r="D9" s="21"/>
      <c r="E9" s="21"/>
      <c r="F9" s="21"/>
      <c r="G9" s="21"/>
      <c r="H9" s="21"/>
      <c r="I9" s="21"/>
      <c r="J9" s="21"/>
      <c r="K9" s="21"/>
      <c r="L9" s="21"/>
      <c r="M9" s="26"/>
      <c r="O9" s="5"/>
      <c r="S9" s="9"/>
    </row>
    <row r="10" spans="1:22" ht="14" x14ac:dyDescent="0.3">
      <c r="A10" s="42" t="s">
        <v>21</v>
      </c>
      <c r="B10" s="61">
        <v>0</v>
      </c>
      <c r="C10" s="22"/>
      <c r="D10" s="22">
        <v>0</v>
      </c>
      <c r="E10" s="22"/>
      <c r="F10" s="22"/>
      <c r="G10" s="22"/>
      <c r="H10" s="22"/>
      <c r="I10" s="22"/>
      <c r="J10" s="22"/>
      <c r="K10" s="22"/>
      <c r="L10" s="22"/>
      <c r="M10" s="27"/>
      <c r="O10" s="5"/>
      <c r="Q10" s="11"/>
      <c r="S10" s="9"/>
    </row>
    <row r="11" spans="1:22" ht="14" x14ac:dyDescent="0.3">
      <c r="A11" s="42" t="s">
        <v>15</v>
      </c>
      <c r="B11" s="64"/>
      <c r="C11" s="25">
        <v>0</v>
      </c>
      <c r="D11" s="25">
        <v>0</v>
      </c>
      <c r="E11" s="25"/>
      <c r="F11" s="25"/>
      <c r="G11" s="25"/>
      <c r="H11" s="25"/>
      <c r="I11" s="25"/>
      <c r="J11" s="25"/>
      <c r="K11" s="25"/>
      <c r="L11" s="25"/>
      <c r="M11" s="27"/>
      <c r="O11" s="5"/>
      <c r="Q11" s="11"/>
      <c r="S11" s="9"/>
    </row>
    <row r="12" spans="1:22" ht="14" x14ac:dyDescent="0.3">
      <c r="A12" s="34" t="s">
        <v>50</v>
      </c>
      <c r="B12" s="60"/>
      <c r="C12" s="25"/>
      <c r="D12" s="25">
        <f>(C20-C19)*$N$3</f>
        <v>26.999999999999996</v>
      </c>
      <c r="E12" s="25"/>
      <c r="F12" s="25"/>
      <c r="G12" s="25"/>
      <c r="H12" s="25"/>
      <c r="I12" s="25"/>
      <c r="J12" s="25"/>
      <c r="K12" s="25"/>
      <c r="L12" s="25"/>
      <c r="M12" s="27"/>
      <c r="O12" s="5"/>
      <c r="Q12" s="11"/>
      <c r="S12" s="9"/>
    </row>
    <row r="13" spans="1:22" ht="14" x14ac:dyDescent="0.3">
      <c r="A13" s="34" t="s">
        <v>9</v>
      </c>
      <c r="B13" s="60"/>
      <c r="C13" s="25"/>
      <c r="D13" s="25"/>
      <c r="E13" s="25"/>
      <c r="F13" s="25"/>
      <c r="G13" s="25"/>
      <c r="H13" s="25"/>
      <c r="I13" s="25"/>
      <c r="J13" s="25"/>
      <c r="K13" s="25"/>
      <c r="L13" s="25"/>
      <c r="M13" s="27"/>
      <c r="O13" s="5"/>
      <c r="Q13" s="11"/>
      <c r="S13" s="9"/>
    </row>
    <row r="14" spans="1:22" ht="14" x14ac:dyDescent="0.3">
      <c r="A14" s="36" t="s">
        <v>3</v>
      </c>
      <c r="B14" s="66">
        <f>SUM(B9:B13)</f>
        <v>85</v>
      </c>
      <c r="C14" s="23">
        <f>SUM(C9:C13)</f>
        <v>0</v>
      </c>
      <c r="D14" s="23">
        <f t="shared" ref="D14:G14" si="0">SUM(D9:D13)</f>
        <v>26.999999999999996</v>
      </c>
      <c r="E14" s="23">
        <f>SUM(E9:E13)</f>
        <v>0</v>
      </c>
      <c r="F14" s="23">
        <f t="shared" si="0"/>
        <v>0</v>
      </c>
      <c r="G14" s="23">
        <f t="shared" si="0"/>
        <v>0</v>
      </c>
      <c r="H14" s="23"/>
      <c r="I14" s="23"/>
      <c r="J14" s="23"/>
      <c r="K14" s="23"/>
      <c r="L14" s="23"/>
      <c r="M14" s="57">
        <f>SUM(B14:L14)</f>
        <v>112</v>
      </c>
      <c r="O14" s="5"/>
      <c r="Q14" s="11"/>
      <c r="S14" s="9"/>
    </row>
    <row r="15" spans="1:22" ht="14" x14ac:dyDescent="0.3">
      <c r="A15" s="34" t="s">
        <v>5</v>
      </c>
      <c r="B15" s="65">
        <v>1</v>
      </c>
      <c r="C15" s="24">
        <f>1/(1+$N$4)^C7</f>
        <v>0.94339622641509424</v>
      </c>
      <c r="D15" s="24">
        <f>1/(1+$N$4)^D7</f>
        <v>0.88999644001423983</v>
      </c>
      <c r="E15" s="24"/>
      <c r="F15" s="24"/>
      <c r="G15" s="24"/>
      <c r="H15" s="24"/>
      <c r="I15" s="24"/>
      <c r="J15" s="24"/>
      <c r="K15" s="24"/>
      <c r="L15" s="24"/>
      <c r="M15" s="57"/>
      <c r="O15" s="5"/>
      <c r="Q15" s="11"/>
      <c r="S15" s="9"/>
    </row>
    <row r="16" spans="1:22" s="38" customFormat="1" ht="14" x14ac:dyDescent="0.3">
      <c r="A16" s="36" t="s">
        <v>6</v>
      </c>
      <c r="B16" s="63">
        <f>B14*B15</f>
        <v>85</v>
      </c>
      <c r="C16" s="56">
        <f>C14*C15</f>
        <v>0</v>
      </c>
      <c r="D16" s="56">
        <f t="shared" ref="D16:G16" si="1">D14*D15</f>
        <v>24.029903880384474</v>
      </c>
      <c r="E16" s="56">
        <f t="shared" si="1"/>
        <v>0</v>
      </c>
      <c r="F16" s="56">
        <f t="shared" si="1"/>
        <v>0</v>
      </c>
      <c r="G16" s="56">
        <f t="shared" si="1"/>
        <v>0</v>
      </c>
      <c r="H16" s="56"/>
      <c r="I16" s="56"/>
      <c r="J16" s="56"/>
      <c r="K16" s="56"/>
      <c r="L16" s="56"/>
      <c r="M16" s="57">
        <f>SUM(B16:L16)</f>
        <v>109.02990388038447</v>
      </c>
      <c r="O16" s="39"/>
      <c r="Q16" s="40"/>
      <c r="S16" s="41"/>
    </row>
    <row r="17" spans="1:19" ht="14" x14ac:dyDescent="0.3">
      <c r="A17" s="34"/>
      <c r="B17" s="34"/>
      <c r="C17" s="28"/>
      <c r="D17" s="28"/>
      <c r="E17" s="28"/>
      <c r="F17" s="28"/>
      <c r="G17" s="28"/>
      <c r="H17" s="28"/>
      <c r="I17" s="28"/>
      <c r="J17" s="28"/>
      <c r="K17" s="28"/>
      <c r="L17" s="28"/>
      <c r="M17" s="26"/>
      <c r="O17" s="5"/>
      <c r="Q17" s="11"/>
      <c r="S17" s="9"/>
    </row>
    <row r="18" spans="1:19" ht="14" x14ac:dyDescent="0.3">
      <c r="A18" s="35" t="s">
        <v>28</v>
      </c>
      <c r="B18" s="35"/>
      <c r="C18" s="29"/>
      <c r="D18" s="29"/>
      <c r="E18" s="29"/>
      <c r="F18" s="29"/>
      <c r="G18" s="29"/>
      <c r="H18" s="29"/>
      <c r="I18" s="29"/>
      <c r="J18" s="29"/>
      <c r="K18" s="29"/>
      <c r="L18" s="29"/>
      <c r="M18" s="30"/>
      <c r="O18" s="5"/>
      <c r="Q18" s="11"/>
      <c r="S18" s="9"/>
    </row>
    <row r="19" spans="1:19" ht="14" x14ac:dyDescent="0.3">
      <c r="A19" s="34" t="s">
        <v>14</v>
      </c>
      <c r="B19" s="34"/>
      <c r="C19" s="43">
        <v>0.5</v>
      </c>
      <c r="D19" s="43">
        <v>0.7</v>
      </c>
      <c r="E19" s="43"/>
      <c r="F19" s="43"/>
      <c r="G19" s="43"/>
      <c r="H19" s="43"/>
      <c r="I19" s="43"/>
      <c r="J19" s="43"/>
      <c r="K19" s="43"/>
      <c r="L19" s="43"/>
      <c r="M19" s="37">
        <f>SUM(C19:L19)</f>
        <v>1.2</v>
      </c>
      <c r="O19" s="5"/>
      <c r="Q19" s="11"/>
      <c r="S19" s="9"/>
    </row>
    <row r="20" spans="1:19" ht="14" x14ac:dyDescent="0.3">
      <c r="A20" s="34" t="s">
        <v>13</v>
      </c>
      <c r="B20" s="34"/>
      <c r="C20" s="43">
        <v>1.4</v>
      </c>
      <c r="D20" s="43">
        <v>1.6</v>
      </c>
      <c r="E20" s="43"/>
      <c r="F20" s="43"/>
      <c r="G20" s="43"/>
      <c r="H20" s="43"/>
      <c r="I20" s="43"/>
      <c r="J20" s="43"/>
      <c r="K20" s="43"/>
      <c r="L20" s="43"/>
      <c r="M20" s="37">
        <f>SUM(C20:L20)</f>
        <v>3</v>
      </c>
      <c r="O20" s="5"/>
      <c r="Q20" s="11"/>
      <c r="S20" s="9"/>
    </row>
    <row r="21" spans="1:19" ht="14" x14ac:dyDescent="0.3">
      <c r="A21" s="34" t="s">
        <v>30</v>
      </c>
      <c r="B21" s="34"/>
      <c r="C21" s="44">
        <v>255</v>
      </c>
      <c r="D21" s="44">
        <v>215</v>
      </c>
      <c r="E21" s="44"/>
      <c r="F21" s="44"/>
      <c r="G21" s="44"/>
      <c r="H21" s="44"/>
      <c r="I21" s="44"/>
      <c r="J21" s="44"/>
      <c r="K21" s="44"/>
      <c r="L21" s="44"/>
      <c r="M21" s="30"/>
      <c r="O21" s="5"/>
      <c r="Q21" s="11"/>
      <c r="S21" s="9"/>
    </row>
    <row r="22" spans="1:19" ht="14" x14ac:dyDescent="0.3">
      <c r="A22" s="34" t="s">
        <v>11</v>
      </c>
      <c r="B22" s="34"/>
      <c r="C22" s="29">
        <f>(C20-C19)*C21</f>
        <v>229.49999999999997</v>
      </c>
      <c r="D22" s="29">
        <f t="shared" ref="D22:G22" si="2">(D20-D19)*D21</f>
        <v>193.50000000000003</v>
      </c>
      <c r="E22" s="29">
        <f t="shared" si="2"/>
        <v>0</v>
      </c>
      <c r="F22" s="29">
        <f t="shared" si="2"/>
        <v>0</v>
      </c>
      <c r="G22" s="29">
        <f t="shared" si="2"/>
        <v>0</v>
      </c>
      <c r="H22" s="29"/>
      <c r="I22" s="29"/>
      <c r="J22" s="29"/>
      <c r="K22" s="29"/>
      <c r="L22" s="29"/>
      <c r="M22" s="48">
        <f>SUM(C22:L22)</f>
        <v>423</v>
      </c>
      <c r="O22" s="5"/>
      <c r="Q22" s="11"/>
      <c r="S22" s="9"/>
    </row>
    <row r="23" spans="1:19" ht="14" x14ac:dyDescent="0.3">
      <c r="A23" s="34"/>
      <c r="B23" s="34"/>
      <c r="C23" s="45"/>
      <c r="D23" s="45"/>
      <c r="E23" s="45"/>
      <c r="F23" s="45"/>
      <c r="G23" s="45"/>
      <c r="H23" s="45"/>
      <c r="I23" s="45"/>
      <c r="J23" s="45"/>
      <c r="K23" s="45"/>
      <c r="L23" s="45"/>
      <c r="M23" s="46"/>
      <c r="O23" s="5"/>
      <c r="Q23" s="11"/>
      <c r="S23" s="9"/>
    </row>
    <row r="24" spans="1:19" s="38" customFormat="1" ht="14" x14ac:dyDescent="0.3">
      <c r="A24" s="36" t="s">
        <v>26</v>
      </c>
      <c r="B24" s="36"/>
      <c r="C24" s="47">
        <f>C22*C15</f>
        <v>216.5094339622641</v>
      </c>
      <c r="D24" s="47">
        <f t="shared" ref="D24:G24" si="3">D22*D15</f>
        <v>172.21431114275543</v>
      </c>
      <c r="E24" s="47">
        <f t="shared" si="3"/>
        <v>0</v>
      </c>
      <c r="F24" s="47">
        <f t="shared" si="3"/>
        <v>0</v>
      </c>
      <c r="G24" s="47">
        <f t="shared" si="3"/>
        <v>0</v>
      </c>
      <c r="H24" s="47"/>
      <c r="I24" s="47"/>
      <c r="J24" s="47"/>
      <c r="K24" s="47"/>
      <c r="L24" s="47"/>
      <c r="M24" s="48">
        <f>SUM(C24:L24)</f>
        <v>388.72374510501953</v>
      </c>
      <c r="O24" s="39"/>
      <c r="Q24" s="40"/>
      <c r="S24" s="41"/>
    </row>
    <row r="25" spans="1:19" ht="14" x14ac:dyDescent="0.3">
      <c r="A25" s="1"/>
      <c r="B25" s="1"/>
      <c r="C25" s="28"/>
      <c r="D25" s="28"/>
      <c r="E25" s="28"/>
      <c r="F25" s="28"/>
      <c r="G25" s="28"/>
      <c r="H25" s="28"/>
      <c r="I25" s="28"/>
      <c r="J25" s="28"/>
      <c r="K25" s="28"/>
      <c r="L25" s="28"/>
      <c r="M25" s="30"/>
      <c r="O25" s="5"/>
      <c r="S25" s="9"/>
    </row>
    <row r="26" spans="1:19" ht="14" x14ac:dyDescent="0.3">
      <c r="A26" s="13" t="s">
        <v>8</v>
      </c>
      <c r="B26" s="13"/>
      <c r="C26" s="31"/>
      <c r="D26" s="31"/>
      <c r="E26" s="31"/>
      <c r="F26" s="31"/>
      <c r="G26" s="31"/>
      <c r="H26" s="31"/>
      <c r="I26" s="31"/>
      <c r="J26" s="31"/>
      <c r="K26" s="31"/>
      <c r="L26" s="31"/>
      <c r="M26" s="10"/>
      <c r="O26" s="5"/>
      <c r="R26" s="11"/>
    </row>
    <row r="27" spans="1:19" s="54" customFormat="1" ht="14" x14ac:dyDescent="0.3">
      <c r="A27" s="1" t="s">
        <v>7</v>
      </c>
      <c r="B27" s="32">
        <f>B22-B14</f>
        <v>-85</v>
      </c>
      <c r="C27" s="32">
        <f>C22-C14</f>
        <v>229.49999999999997</v>
      </c>
      <c r="D27" s="32">
        <f t="shared" ref="D27:G27" si="4">D22-D14</f>
        <v>166.50000000000003</v>
      </c>
      <c r="E27" s="32">
        <f t="shared" si="4"/>
        <v>0</v>
      </c>
      <c r="F27" s="32">
        <f t="shared" si="4"/>
        <v>0</v>
      </c>
      <c r="G27" s="32">
        <f t="shared" si="4"/>
        <v>0</v>
      </c>
      <c r="H27" s="32"/>
      <c r="I27" s="32"/>
      <c r="J27" s="32"/>
      <c r="K27" s="32"/>
      <c r="L27" s="32"/>
      <c r="M27" s="79">
        <f>SUM(B27:L27)</f>
        <v>311</v>
      </c>
      <c r="O27" s="55"/>
      <c r="R27" s="80"/>
    </row>
    <row r="28" spans="1:19" ht="14" x14ac:dyDescent="0.3">
      <c r="A28" s="2" t="s">
        <v>20</v>
      </c>
      <c r="B28" s="32">
        <f>B24-B16</f>
        <v>-85</v>
      </c>
      <c r="C28" s="32">
        <f>C24-C16</f>
        <v>216.5094339622641</v>
      </c>
      <c r="D28" s="32">
        <f t="shared" ref="D28:G28" si="5">D24-D16</f>
        <v>148.18440726237097</v>
      </c>
      <c r="E28" s="32">
        <f t="shared" si="5"/>
        <v>0</v>
      </c>
      <c r="F28" s="32">
        <f t="shared" si="5"/>
        <v>0</v>
      </c>
      <c r="G28" s="32">
        <f t="shared" si="5"/>
        <v>0</v>
      </c>
      <c r="H28" s="32"/>
      <c r="I28" s="32"/>
      <c r="J28" s="32"/>
      <c r="K28" s="32"/>
      <c r="L28" s="32"/>
      <c r="M28" s="58">
        <f>SUM(B28:L28)</f>
        <v>279.69384122463509</v>
      </c>
      <c r="O28" s="5"/>
      <c r="R28" s="11"/>
    </row>
    <row r="29" spans="1:19" ht="14" x14ac:dyDescent="0.3">
      <c r="A29" s="2" t="s">
        <v>19</v>
      </c>
      <c r="B29" s="32">
        <f>B28</f>
        <v>-85</v>
      </c>
      <c r="C29" s="32">
        <f>B28+C28</f>
        <v>131.5094339622641</v>
      </c>
      <c r="D29" s="32">
        <f>D28+C29</f>
        <v>279.69384122463509</v>
      </c>
      <c r="E29" s="32">
        <f t="shared" ref="E29:G29" si="6">E28+D29</f>
        <v>279.69384122463509</v>
      </c>
      <c r="F29" s="32">
        <f t="shared" si="6"/>
        <v>279.69384122463509</v>
      </c>
      <c r="G29" s="32">
        <f t="shared" si="6"/>
        <v>279.69384122463509</v>
      </c>
      <c r="H29" s="32"/>
      <c r="I29" s="32"/>
      <c r="J29" s="32"/>
      <c r="K29" s="32"/>
      <c r="L29" s="32"/>
      <c r="M29" s="58"/>
      <c r="O29" s="5"/>
      <c r="R29" s="11"/>
    </row>
    <row r="30" spans="1:19" s="54" customFormat="1" ht="14" x14ac:dyDescent="0.3">
      <c r="A30" s="1" t="s">
        <v>17</v>
      </c>
      <c r="B30" s="77">
        <f>(SUM(B22)-SUM(B14:B14))/SUM(B14:B14)</f>
        <v>-1</v>
      </c>
      <c r="C30" s="77">
        <f>(SUM($B$22:C22)-SUM($B$14:C14))/SUM($B$14:C14)</f>
        <v>1.6999999999999997</v>
      </c>
      <c r="D30" s="77">
        <f>(SUM($B$22:D22)-SUM($B$14:D14))/SUM($B$14:D14)</f>
        <v>2.7767857142857144</v>
      </c>
      <c r="E30" s="77">
        <f>(SUM($B$22:E22)-SUM($B$14:E14))/SUM($B$14:E14)</f>
        <v>2.7767857142857144</v>
      </c>
      <c r="F30" s="77">
        <f>(SUM($B$22:F22)-SUM($B$14:F14))/SUM($B$14:F14)</f>
        <v>2.7767857142857144</v>
      </c>
      <c r="G30" s="77">
        <f>(SUM($B$22:G22)-SUM($B$14:G14))/SUM($B$14:G14)</f>
        <v>2.7767857142857144</v>
      </c>
      <c r="H30" s="77"/>
      <c r="I30" s="77"/>
      <c r="J30" s="77"/>
      <c r="K30" s="77"/>
      <c r="L30" s="77"/>
      <c r="M30" s="78">
        <f>(M22-M14)/M14</f>
        <v>2.7767857142857144</v>
      </c>
    </row>
    <row r="31" spans="1:19" ht="14" x14ac:dyDescent="0.3">
      <c r="A31" s="2" t="s">
        <v>29</v>
      </c>
      <c r="B31" s="20">
        <f>(SUM(B23)-SUM(B15:B15))/SUM(B15:B15)</f>
        <v>-1</v>
      </c>
      <c r="C31" s="20">
        <f>(SUM($B$24:C24)-SUM($B$16:C16))/SUM($B$16:C16)</f>
        <v>1.5471698113207542</v>
      </c>
      <c r="D31" s="20">
        <f>(SUM($B$24:D24)-SUM($B$16:D16))/SUM($B$16:D16)</f>
        <v>2.5652947610729271</v>
      </c>
      <c r="E31" s="20">
        <f>(SUM($B$24:E24)-SUM($B$16:E16))/SUM($B$16:E16)</f>
        <v>2.5652947610729271</v>
      </c>
      <c r="F31" s="20">
        <f>(SUM($B$24:F24)-SUM($B$16:F16))/SUM($B$16:F16)</f>
        <v>2.5652947610729271</v>
      </c>
      <c r="G31" s="20">
        <f>(SUM($B$24:G24)-SUM($B$16:G16))/SUM($B$16:G16)</f>
        <v>2.5652947610729271</v>
      </c>
      <c r="H31" s="20"/>
      <c r="I31" s="20"/>
      <c r="J31" s="20"/>
      <c r="K31" s="20"/>
      <c r="L31" s="20"/>
      <c r="M31" s="59">
        <f>(M24-M16)/M16</f>
        <v>2.5652947610729271</v>
      </c>
    </row>
    <row r="32" spans="1:19" ht="14" x14ac:dyDescent="0.3">
      <c r="A32" s="2" t="s">
        <v>18</v>
      </c>
      <c r="B32" s="20"/>
      <c r="C32" s="20"/>
      <c r="D32" s="20"/>
      <c r="E32" s="20"/>
      <c r="F32" s="20"/>
      <c r="G32" s="20"/>
      <c r="H32" s="20"/>
      <c r="I32" s="20"/>
      <c r="J32" s="20"/>
      <c r="K32" s="20"/>
      <c r="L32" s="20"/>
      <c r="M32" s="19">
        <f>M24/M16</f>
        <v>3.5652947610729271</v>
      </c>
    </row>
    <row r="33" spans="1:15" s="71" customFormat="1" ht="13.9" customHeight="1" x14ac:dyDescent="0.3">
      <c r="A33" s="68" t="s">
        <v>4</v>
      </c>
      <c r="B33" s="68"/>
      <c r="C33" s="69"/>
      <c r="D33" s="69"/>
      <c r="E33" s="69"/>
      <c r="F33" s="69"/>
      <c r="G33" s="69"/>
      <c r="H33" s="69"/>
      <c r="I33" s="69"/>
      <c r="J33" s="69"/>
      <c r="K33" s="69"/>
      <c r="L33" s="69"/>
      <c r="M33" s="70">
        <f>M24-M16</f>
        <v>279.69384122463509</v>
      </c>
      <c r="O33" s="72"/>
    </row>
    <row r="34" spans="1:15" s="74" customFormat="1" ht="19.899999999999999" customHeight="1" x14ac:dyDescent="0.3">
      <c r="A34" s="73" t="s">
        <v>25</v>
      </c>
      <c r="M34" s="75">
        <f>MIRR(B27:L27,N4,N4)</f>
        <v>0.4184295358422585</v>
      </c>
    </row>
    <row r="36" spans="1:15" x14ac:dyDescent="0.25">
      <c r="A36" s="54" t="s">
        <v>23</v>
      </c>
    </row>
    <row r="37" spans="1:15" x14ac:dyDescent="0.25">
      <c r="A37" s="54" t="s">
        <v>46</v>
      </c>
    </row>
    <row r="39" spans="1:15" x14ac:dyDescent="0.25">
      <c r="B39" t="s">
        <v>31</v>
      </c>
      <c r="C39" t="s">
        <v>32</v>
      </c>
      <c r="D39" t="s">
        <v>33</v>
      </c>
      <c r="E39" t="s">
        <v>34</v>
      </c>
      <c r="F39" t="s">
        <v>35</v>
      </c>
      <c r="G39" t="s">
        <v>36</v>
      </c>
    </row>
    <row r="40" spans="1:15" x14ac:dyDescent="0.25">
      <c r="A40" t="s">
        <v>37</v>
      </c>
      <c r="B40" s="76">
        <f>B28</f>
        <v>-85</v>
      </c>
      <c r="C40" s="76">
        <f>C28+B40</f>
        <v>131.5094339622641</v>
      </c>
      <c r="D40" s="76">
        <f>D28+C40</f>
        <v>279.69384122463509</v>
      </c>
      <c r="E40" s="76">
        <f t="shared" ref="E40" si="7">E28+D40</f>
        <v>279.69384122463509</v>
      </c>
      <c r="F40" s="76"/>
      <c r="G40" s="76"/>
    </row>
  </sheetData>
  <mergeCells count="2">
    <mergeCell ref="A1:N1"/>
    <mergeCell ref="C6:L6"/>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4AA5B4-4FCA-4086-88F5-FEE539C5F590}">
  <dimension ref="A1:V40"/>
  <sheetViews>
    <sheetView topLeftCell="I25" workbookViewId="0">
      <selection activeCell="G48" sqref="G48"/>
    </sheetView>
  </sheetViews>
  <sheetFormatPr defaultRowHeight="12.5" x14ac:dyDescent="0.25"/>
  <cols>
    <col min="1" max="1" width="45.1796875" customWidth="1"/>
    <col min="2" max="2" width="15.7265625" customWidth="1"/>
    <col min="3" max="3" width="21.26953125" customWidth="1"/>
    <col min="4" max="10" width="13" customWidth="1"/>
    <col min="11" max="13" width="14.1796875" customWidth="1"/>
    <col min="14" max="14" width="13.81640625" customWidth="1"/>
    <col min="15" max="15" width="14.26953125" customWidth="1"/>
    <col min="16" max="16" width="3.26953125" customWidth="1"/>
    <col min="18" max="18" width="11.1796875" bestFit="1" customWidth="1"/>
    <col min="19" max="20" width="12.7265625" bestFit="1" customWidth="1"/>
  </cols>
  <sheetData>
    <row r="1" spans="1:22" ht="17.25" customHeight="1" x14ac:dyDescent="0.35">
      <c r="A1" s="84" t="s">
        <v>22</v>
      </c>
      <c r="B1" s="84"/>
      <c r="C1" s="85"/>
      <c r="D1" s="85"/>
      <c r="E1" s="85"/>
      <c r="F1" s="85"/>
      <c r="G1" s="85"/>
      <c r="H1" s="85"/>
      <c r="I1" s="85"/>
      <c r="J1" s="85"/>
      <c r="K1" s="85"/>
      <c r="L1" s="85"/>
      <c r="M1" s="86"/>
      <c r="N1" s="86"/>
      <c r="O1" s="5"/>
      <c r="P1" s="5"/>
      <c r="Q1" s="5"/>
      <c r="R1" s="5"/>
      <c r="S1" s="5"/>
      <c r="T1" s="5"/>
      <c r="U1" s="5"/>
      <c r="V1" s="5"/>
    </row>
    <row r="2" spans="1:22" ht="12.75" customHeight="1" x14ac:dyDescent="0.35">
      <c r="A2" s="3"/>
      <c r="B2" s="3"/>
      <c r="C2" s="4"/>
      <c r="D2" s="4"/>
      <c r="E2" s="4"/>
      <c r="F2" s="4"/>
      <c r="G2" s="4"/>
      <c r="H2" s="4"/>
      <c r="I2" s="4"/>
      <c r="J2" s="4"/>
      <c r="K2" s="4"/>
      <c r="L2" s="4"/>
      <c r="M2" s="4"/>
      <c r="N2" s="5"/>
      <c r="O2" s="5"/>
      <c r="P2" s="5"/>
      <c r="Q2" s="5"/>
      <c r="R2" s="5"/>
      <c r="S2" s="5"/>
      <c r="T2" s="5"/>
      <c r="U2" s="5"/>
      <c r="V2" s="5"/>
    </row>
    <row r="3" spans="1:22" x14ac:dyDescent="0.25">
      <c r="A3" s="5"/>
      <c r="B3" s="5"/>
      <c r="C3" s="5"/>
      <c r="D3" s="5"/>
      <c r="E3" s="55"/>
      <c r="F3" s="5"/>
      <c r="G3" s="5"/>
      <c r="H3" s="5"/>
      <c r="I3" s="5"/>
      <c r="J3" s="5"/>
      <c r="K3" s="5"/>
      <c r="L3" s="5"/>
      <c r="M3" s="5" t="s">
        <v>42</v>
      </c>
      <c r="N3" s="5">
        <v>30</v>
      </c>
      <c r="P3" s="5"/>
    </row>
    <row r="4" spans="1:22" ht="14" x14ac:dyDescent="0.3">
      <c r="A4" s="54" t="s">
        <v>61</v>
      </c>
      <c r="M4" s="14" t="s">
        <v>0</v>
      </c>
      <c r="N4" s="15">
        <v>0.06</v>
      </c>
      <c r="O4" s="7"/>
      <c r="P4" s="5"/>
    </row>
    <row r="5" spans="1:22" ht="10.5" customHeight="1" thickBot="1" x14ac:dyDescent="0.35">
      <c r="A5" s="8"/>
      <c r="B5" s="8"/>
      <c r="C5" s="6"/>
      <c r="D5" s="6"/>
      <c r="E5" s="6"/>
      <c r="F5" s="6"/>
      <c r="G5" s="6"/>
      <c r="H5" s="6"/>
      <c r="I5" s="6"/>
      <c r="J5" s="6"/>
      <c r="K5" s="6"/>
      <c r="L5" s="6"/>
      <c r="M5" s="6"/>
      <c r="N5" s="6"/>
      <c r="O5" s="6"/>
      <c r="P5" s="5"/>
    </row>
    <row r="6" spans="1:22" ht="14" x14ac:dyDescent="0.3">
      <c r="A6" s="16"/>
      <c r="B6" s="16"/>
      <c r="C6" s="82" t="s">
        <v>16</v>
      </c>
      <c r="D6" s="82"/>
      <c r="E6" s="82"/>
      <c r="F6" s="82"/>
      <c r="G6" s="82"/>
      <c r="H6" s="82"/>
      <c r="I6" s="82"/>
      <c r="J6" s="82"/>
      <c r="K6" s="82"/>
      <c r="L6" s="83"/>
      <c r="M6" s="18" t="s">
        <v>1</v>
      </c>
      <c r="O6" s="5"/>
    </row>
    <row r="7" spans="1:22" ht="14" x14ac:dyDescent="0.3">
      <c r="B7" s="62">
        <v>0</v>
      </c>
      <c r="C7" s="12">
        <v>1</v>
      </c>
      <c r="D7" s="12">
        <v>2</v>
      </c>
      <c r="E7" s="12">
        <v>3</v>
      </c>
      <c r="F7" s="12">
        <v>4</v>
      </c>
      <c r="G7" s="12">
        <v>5</v>
      </c>
      <c r="H7" s="12">
        <v>6</v>
      </c>
      <c r="I7" s="12">
        <v>7</v>
      </c>
      <c r="J7" s="12">
        <v>8</v>
      </c>
      <c r="K7" s="12">
        <v>9</v>
      </c>
      <c r="L7" s="12">
        <v>10</v>
      </c>
      <c r="M7" s="17" t="s">
        <v>2</v>
      </c>
      <c r="O7" s="5"/>
    </row>
    <row r="8" spans="1:22" ht="14" x14ac:dyDescent="0.3">
      <c r="A8" s="13" t="s">
        <v>27</v>
      </c>
      <c r="B8" s="13"/>
      <c r="C8" s="81" t="s">
        <v>39</v>
      </c>
      <c r="D8" s="81" t="s">
        <v>38</v>
      </c>
      <c r="E8" s="81"/>
      <c r="F8" s="1"/>
      <c r="G8" s="1"/>
      <c r="H8" s="1"/>
      <c r="I8" s="1"/>
      <c r="J8" s="1"/>
      <c r="K8" s="1"/>
      <c r="L8" s="1"/>
      <c r="O8" s="5"/>
    </row>
    <row r="9" spans="1:22" ht="14" x14ac:dyDescent="0.3">
      <c r="A9" s="34" t="s">
        <v>10</v>
      </c>
      <c r="B9" s="60">
        <v>150</v>
      </c>
      <c r="C9" s="21"/>
      <c r="D9" s="21"/>
      <c r="E9" s="21"/>
      <c r="F9" s="21"/>
      <c r="G9" s="21"/>
      <c r="H9" s="21"/>
      <c r="I9" s="21"/>
      <c r="J9" s="21"/>
      <c r="K9" s="21"/>
      <c r="L9" s="21"/>
      <c r="M9" s="26"/>
      <c r="O9" s="5"/>
      <c r="S9" s="9"/>
    </row>
    <row r="10" spans="1:22" ht="14" x14ac:dyDescent="0.3">
      <c r="A10" s="42" t="s">
        <v>21</v>
      </c>
      <c r="B10" s="61">
        <v>0</v>
      </c>
      <c r="C10" s="22"/>
      <c r="D10" s="22">
        <v>0</v>
      </c>
      <c r="E10" s="22"/>
      <c r="F10" s="22"/>
      <c r="G10" s="22"/>
      <c r="H10" s="22"/>
      <c r="I10" s="22"/>
      <c r="J10" s="22"/>
      <c r="K10" s="22"/>
      <c r="L10" s="22"/>
      <c r="M10" s="27"/>
      <c r="O10" s="5"/>
      <c r="Q10" s="11"/>
      <c r="S10" s="9"/>
    </row>
    <row r="11" spans="1:22" ht="14" x14ac:dyDescent="0.3">
      <c r="A11" s="42" t="s">
        <v>15</v>
      </c>
      <c r="B11" s="64"/>
      <c r="C11" s="25">
        <v>0</v>
      </c>
      <c r="D11" s="25">
        <v>0</v>
      </c>
      <c r="E11" s="25"/>
      <c r="F11" s="25"/>
      <c r="G11" s="25"/>
      <c r="H11" s="25"/>
      <c r="I11" s="25"/>
      <c r="J11" s="25"/>
      <c r="K11" s="25"/>
      <c r="L11" s="25"/>
      <c r="M11" s="27"/>
      <c r="O11" s="5"/>
      <c r="Q11" s="11"/>
      <c r="S11" s="9"/>
    </row>
    <row r="12" spans="1:22" ht="14" x14ac:dyDescent="0.3">
      <c r="A12" s="34" t="s">
        <v>50</v>
      </c>
      <c r="B12" s="60"/>
      <c r="C12" s="25"/>
      <c r="D12" s="25">
        <f>(C20-C19)*$N$3</f>
        <v>42</v>
      </c>
      <c r="E12" s="25"/>
      <c r="F12" s="25"/>
      <c r="G12" s="25"/>
      <c r="H12" s="25"/>
      <c r="I12" s="25"/>
      <c r="J12" s="25"/>
      <c r="K12" s="25"/>
      <c r="L12" s="25"/>
      <c r="M12" s="27"/>
      <c r="O12" s="5"/>
      <c r="Q12" s="11"/>
      <c r="S12" s="9"/>
    </row>
    <row r="13" spans="1:22" ht="14" x14ac:dyDescent="0.3">
      <c r="A13" s="34" t="s">
        <v>9</v>
      </c>
      <c r="B13" s="60"/>
      <c r="C13" s="25"/>
      <c r="D13" s="25"/>
      <c r="E13" s="25"/>
      <c r="F13" s="25"/>
      <c r="G13" s="25"/>
      <c r="H13" s="25"/>
      <c r="I13" s="25"/>
      <c r="J13" s="25"/>
      <c r="K13" s="25"/>
      <c r="L13" s="25"/>
      <c r="M13" s="27"/>
      <c r="O13" s="5"/>
      <c r="Q13" s="11"/>
      <c r="S13" s="9"/>
    </row>
    <row r="14" spans="1:22" ht="14" x14ac:dyDescent="0.3">
      <c r="A14" s="36" t="s">
        <v>3</v>
      </c>
      <c r="B14" s="66">
        <f>SUM(B9:B13)</f>
        <v>150</v>
      </c>
      <c r="C14" s="23">
        <f>SUM(C9:C13)</f>
        <v>0</v>
      </c>
      <c r="D14" s="23">
        <f t="shared" ref="D14:G14" si="0">SUM(D9:D13)</f>
        <v>42</v>
      </c>
      <c r="E14" s="23">
        <f>SUM(E9:E13)</f>
        <v>0</v>
      </c>
      <c r="F14" s="23">
        <f t="shared" si="0"/>
        <v>0</v>
      </c>
      <c r="G14" s="23">
        <f t="shared" si="0"/>
        <v>0</v>
      </c>
      <c r="H14" s="23"/>
      <c r="I14" s="23"/>
      <c r="J14" s="23"/>
      <c r="K14" s="23"/>
      <c r="L14" s="23"/>
      <c r="M14" s="57">
        <f>SUM(B14:L14)</f>
        <v>192</v>
      </c>
      <c r="O14" s="5"/>
      <c r="Q14" s="11"/>
      <c r="S14" s="9"/>
    </row>
    <row r="15" spans="1:22" ht="14" x14ac:dyDescent="0.3">
      <c r="A15" s="34" t="s">
        <v>5</v>
      </c>
      <c r="B15" s="65">
        <v>1</v>
      </c>
      <c r="C15" s="24">
        <f>1/(1+$N$4)^C7</f>
        <v>0.94339622641509424</v>
      </c>
      <c r="D15" s="24">
        <f>1/(1+$N$4)^D7</f>
        <v>0.88999644001423983</v>
      </c>
      <c r="E15" s="24"/>
      <c r="F15" s="24"/>
      <c r="G15" s="24"/>
      <c r="H15" s="24"/>
      <c r="I15" s="24"/>
      <c r="J15" s="24"/>
      <c r="K15" s="24"/>
      <c r="L15" s="24"/>
      <c r="M15" s="57"/>
      <c r="O15" s="5"/>
      <c r="Q15" s="11"/>
      <c r="S15" s="9"/>
    </row>
    <row r="16" spans="1:22" s="38" customFormat="1" ht="14" x14ac:dyDescent="0.3">
      <c r="A16" s="36" t="s">
        <v>6</v>
      </c>
      <c r="B16" s="63">
        <f>B14*B15</f>
        <v>150</v>
      </c>
      <c r="C16" s="56">
        <f>C14*C15</f>
        <v>0</v>
      </c>
      <c r="D16" s="56">
        <f t="shared" ref="D16:G16" si="1">D14*D15</f>
        <v>37.379850480598073</v>
      </c>
      <c r="E16" s="56">
        <f t="shared" si="1"/>
        <v>0</v>
      </c>
      <c r="F16" s="56">
        <f t="shared" si="1"/>
        <v>0</v>
      </c>
      <c r="G16" s="56">
        <f t="shared" si="1"/>
        <v>0</v>
      </c>
      <c r="H16" s="56"/>
      <c r="I16" s="56"/>
      <c r="J16" s="56"/>
      <c r="K16" s="56"/>
      <c r="L16" s="56"/>
      <c r="M16" s="57">
        <f>SUM(B16:L16)</f>
        <v>187.37985048059807</v>
      </c>
      <c r="O16" s="39"/>
      <c r="Q16" s="40"/>
      <c r="S16" s="41"/>
    </row>
    <row r="17" spans="1:19" ht="14" x14ac:dyDescent="0.3">
      <c r="A17" s="34"/>
      <c r="B17" s="34"/>
      <c r="C17" s="28"/>
      <c r="D17" s="28"/>
      <c r="E17" s="28"/>
      <c r="F17" s="28"/>
      <c r="G17" s="28"/>
      <c r="H17" s="28"/>
      <c r="I17" s="28"/>
      <c r="J17" s="28"/>
      <c r="K17" s="28"/>
      <c r="L17" s="28"/>
      <c r="M17" s="26"/>
      <c r="O17" s="5"/>
      <c r="Q17" s="11"/>
      <c r="S17" s="9"/>
    </row>
    <row r="18" spans="1:19" ht="14" x14ac:dyDescent="0.3">
      <c r="A18" s="35" t="s">
        <v>28</v>
      </c>
      <c r="B18" s="35"/>
      <c r="C18" s="29"/>
      <c r="D18" s="29"/>
      <c r="E18" s="29"/>
      <c r="F18" s="29"/>
      <c r="G18" s="29"/>
      <c r="H18" s="29"/>
      <c r="I18" s="29"/>
      <c r="J18" s="29"/>
      <c r="K18" s="29"/>
      <c r="L18" s="29"/>
      <c r="M18" s="30"/>
      <c r="O18" s="5"/>
      <c r="Q18" s="11"/>
      <c r="S18" s="9"/>
    </row>
    <row r="19" spans="1:19" ht="14" x14ac:dyDescent="0.3">
      <c r="A19" s="34" t="s">
        <v>14</v>
      </c>
      <c r="B19" s="34"/>
      <c r="C19" s="43">
        <v>0.5</v>
      </c>
      <c r="D19" s="43">
        <v>0.7</v>
      </c>
      <c r="E19" s="43"/>
      <c r="F19" s="43"/>
      <c r="G19" s="43"/>
      <c r="H19" s="43"/>
      <c r="I19" s="43"/>
      <c r="J19" s="43"/>
      <c r="K19" s="43"/>
      <c r="L19" s="43"/>
      <c r="M19" s="37">
        <f>SUM(C19:L19)</f>
        <v>1.2</v>
      </c>
      <c r="O19" s="5"/>
      <c r="Q19" s="11"/>
      <c r="S19" s="9"/>
    </row>
    <row r="20" spans="1:19" ht="14" x14ac:dyDescent="0.3">
      <c r="A20" s="34" t="s">
        <v>13</v>
      </c>
      <c r="B20" s="34"/>
      <c r="C20" s="43">
        <v>1.9</v>
      </c>
      <c r="D20" s="43">
        <v>1.8</v>
      </c>
      <c r="E20" s="43"/>
      <c r="F20" s="43"/>
      <c r="G20" s="43"/>
      <c r="H20" s="43"/>
      <c r="I20" s="43"/>
      <c r="J20" s="43"/>
      <c r="K20" s="43"/>
      <c r="L20" s="43"/>
      <c r="M20" s="37">
        <f>SUM(C20:L20)</f>
        <v>3.7</v>
      </c>
      <c r="O20" s="5"/>
      <c r="Q20" s="11"/>
      <c r="S20" s="9"/>
    </row>
    <row r="21" spans="1:19" ht="14" x14ac:dyDescent="0.3">
      <c r="A21" s="34" t="s">
        <v>30</v>
      </c>
      <c r="B21" s="34"/>
      <c r="C21" s="44">
        <v>255</v>
      </c>
      <c r="D21" s="44">
        <v>215</v>
      </c>
      <c r="E21" s="44"/>
      <c r="F21" s="44"/>
      <c r="G21" s="44"/>
      <c r="H21" s="44"/>
      <c r="I21" s="44"/>
      <c r="J21" s="44"/>
      <c r="K21" s="44"/>
      <c r="L21" s="44"/>
      <c r="M21" s="30"/>
      <c r="O21" s="5"/>
      <c r="Q21" s="11"/>
      <c r="S21" s="9"/>
    </row>
    <row r="22" spans="1:19" ht="14" x14ac:dyDescent="0.3">
      <c r="A22" s="34" t="s">
        <v>11</v>
      </c>
      <c r="B22" s="34"/>
      <c r="C22" s="29">
        <f>(C20-C19)*C21</f>
        <v>357</v>
      </c>
      <c r="D22" s="29">
        <f t="shared" ref="D22:G22" si="2">(D20-D19)*D21</f>
        <v>236.50000000000003</v>
      </c>
      <c r="E22" s="29">
        <f t="shared" si="2"/>
        <v>0</v>
      </c>
      <c r="F22" s="29">
        <f t="shared" si="2"/>
        <v>0</v>
      </c>
      <c r="G22" s="29">
        <f t="shared" si="2"/>
        <v>0</v>
      </c>
      <c r="H22" s="29"/>
      <c r="I22" s="29"/>
      <c r="J22" s="29"/>
      <c r="K22" s="29"/>
      <c r="L22" s="29"/>
      <c r="M22" s="48">
        <f>SUM(C22:L22)</f>
        <v>593.5</v>
      </c>
      <c r="O22" s="5"/>
      <c r="Q22" s="11"/>
      <c r="S22" s="9"/>
    </row>
    <row r="23" spans="1:19" ht="14" x14ac:dyDescent="0.3">
      <c r="A23" s="34"/>
      <c r="B23" s="34"/>
      <c r="C23" s="45"/>
      <c r="D23" s="45"/>
      <c r="E23" s="45"/>
      <c r="F23" s="45"/>
      <c r="G23" s="45"/>
      <c r="H23" s="45"/>
      <c r="I23" s="45"/>
      <c r="J23" s="45"/>
      <c r="K23" s="45"/>
      <c r="L23" s="45"/>
      <c r="M23" s="46"/>
      <c r="O23" s="5"/>
      <c r="Q23" s="11"/>
      <c r="S23" s="9"/>
    </row>
    <row r="24" spans="1:19" s="38" customFormat="1" ht="14" x14ac:dyDescent="0.3">
      <c r="A24" s="36" t="s">
        <v>26</v>
      </c>
      <c r="B24" s="36"/>
      <c r="C24" s="47">
        <f>C22*C15</f>
        <v>336.79245283018867</v>
      </c>
      <c r="D24" s="47">
        <f t="shared" ref="D24:G24" si="3">D22*D15</f>
        <v>210.48415806336774</v>
      </c>
      <c r="E24" s="47">
        <f t="shared" si="3"/>
        <v>0</v>
      </c>
      <c r="F24" s="47">
        <f t="shared" si="3"/>
        <v>0</v>
      </c>
      <c r="G24" s="47">
        <f t="shared" si="3"/>
        <v>0</v>
      </c>
      <c r="H24" s="47"/>
      <c r="I24" s="47"/>
      <c r="J24" s="47"/>
      <c r="K24" s="47"/>
      <c r="L24" s="47"/>
      <c r="M24" s="48">
        <f>SUM(C24:L24)</f>
        <v>547.27661089355638</v>
      </c>
      <c r="O24" s="39"/>
      <c r="Q24" s="40"/>
      <c r="S24" s="41"/>
    </row>
    <row r="25" spans="1:19" ht="14" x14ac:dyDescent="0.3">
      <c r="A25" s="1"/>
      <c r="B25" s="1"/>
      <c r="C25" s="28"/>
      <c r="D25" s="28"/>
      <c r="E25" s="28"/>
      <c r="F25" s="28"/>
      <c r="G25" s="28"/>
      <c r="H25" s="28"/>
      <c r="I25" s="28"/>
      <c r="J25" s="28"/>
      <c r="K25" s="28"/>
      <c r="L25" s="28"/>
      <c r="M25" s="30"/>
      <c r="O25" s="5"/>
      <c r="S25" s="9"/>
    </row>
    <row r="26" spans="1:19" ht="14" x14ac:dyDescent="0.3">
      <c r="A26" s="13" t="s">
        <v>8</v>
      </c>
      <c r="B26" s="13"/>
      <c r="C26" s="31"/>
      <c r="D26" s="31"/>
      <c r="E26" s="31"/>
      <c r="F26" s="31"/>
      <c r="G26" s="31"/>
      <c r="H26" s="31"/>
      <c r="I26" s="31"/>
      <c r="J26" s="31"/>
      <c r="K26" s="31"/>
      <c r="L26" s="31"/>
      <c r="M26" s="10"/>
      <c r="O26" s="5"/>
      <c r="R26" s="11"/>
    </row>
    <row r="27" spans="1:19" s="54" customFormat="1" ht="14" x14ac:dyDescent="0.3">
      <c r="A27" s="1" t="s">
        <v>7</v>
      </c>
      <c r="B27" s="32">
        <f>B22-B14</f>
        <v>-150</v>
      </c>
      <c r="C27" s="32">
        <f>C22-C14</f>
        <v>357</v>
      </c>
      <c r="D27" s="32">
        <f t="shared" ref="D27:G27" si="4">D22-D14</f>
        <v>194.50000000000003</v>
      </c>
      <c r="E27" s="32">
        <f t="shared" si="4"/>
        <v>0</v>
      </c>
      <c r="F27" s="32">
        <f t="shared" si="4"/>
        <v>0</v>
      </c>
      <c r="G27" s="32">
        <f t="shared" si="4"/>
        <v>0</v>
      </c>
      <c r="H27" s="32"/>
      <c r="I27" s="32"/>
      <c r="J27" s="32"/>
      <c r="K27" s="32"/>
      <c r="L27" s="32"/>
      <c r="M27" s="79">
        <f>SUM(B27:L27)</f>
        <v>401.5</v>
      </c>
      <c r="O27" s="55"/>
      <c r="R27" s="80"/>
    </row>
    <row r="28" spans="1:19" ht="14" x14ac:dyDescent="0.3">
      <c r="A28" s="2" t="s">
        <v>20</v>
      </c>
      <c r="B28" s="32">
        <f>B24-B16</f>
        <v>-150</v>
      </c>
      <c r="C28" s="32">
        <f>C24-C16</f>
        <v>336.79245283018867</v>
      </c>
      <c r="D28" s="32">
        <f t="shared" ref="D28:G28" si="5">D24-D16</f>
        <v>173.10430758276968</v>
      </c>
      <c r="E28" s="32">
        <f t="shared" si="5"/>
        <v>0</v>
      </c>
      <c r="F28" s="32">
        <f t="shared" si="5"/>
        <v>0</v>
      </c>
      <c r="G28" s="32">
        <f t="shared" si="5"/>
        <v>0</v>
      </c>
      <c r="H28" s="32"/>
      <c r="I28" s="32"/>
      <c r="J28" s="32"/>
      <c r="K28" s="32"/>
      <c r="L28" s="32"/>
      <c r="M28" s="58">
        <f>SUM(B28:L28)</f>
        <v>359.89676041295832</v>
      </c>
      <c r="O28" s="5"/>
      <c r="R28" s="11"/>
    </row>
    <row r="29" spans="1:19" ht="14" x14ac:dyDescent="0.3">
      <c r="A29" s="2" t="s">
        <v>19</v>
      </c>
      <c r="B29" s="32">
        <f>B28</f>
        <v>-150</v>
      </c>
      <c r="C29" s="32">
        <f>B28+C28</f>
        <v>186.79245283018867</v>
      </c>
      <c r="D29" s="32">
        <f>D28+C29</f>
        <v>359.89676041295832</v>
      </c>
      <c r="E29" s="32">
        <f t="shared" ref="E29:G29" si="6">E28+D29</f>
        <v>359.89676041295832</v>
      </c>
      <c r="F29" s="32">
        <f t="shared" si="6"/>
        <v>359.89676041295832</v>
      </c>
      <c r="G29" s="32">
        <f t="shared" si="6"/>
        <v>359.89676041295832</v>
      </c>
      <c r="H29" s="32"/>
      <c r="I29" s="32"/>
      <c r="J29" s="32"/>
      <c r="K29" s="32"/>
      <c r="L29" s="32"/>
      <c r="M29" s="58"/>
      <c r="O29" s="5"/>
      <c r="R29" s="11"/>
    </row>
    <row r="30" spans="1:19" s="54" customFormat="1" ht="14" x14ac:dyDescent="0.3">
      <c r="A30" s="1" t="s">
        <v>17</v>
      </c>
      <c r="B30" s="77">
        <f>(SUM(B22)-SUM(B14:B14))/SUM(B14:B14)</f>
        <v>-1</v>
      </c>
      <c r="C30" s="77">
        <f>(SUM($B$22:C22)-SUM($B$14:C14))/SUM($B$14:C14)</f>
        <v>1.38</v>
      </c>
      <c r="D30" s="77">
        <f>(SUM($B$22:D22)-SUM($B$14:D14))/SUM($B$14:D14)</f>
        <v>2.0911458333333335</v>
      </c>
      <c r="E30" s="77">
        <f>(SUM($B$22:E22)-SUM($B$14:E14))/SUM($B$14:E14)</f>
        <v>2.0911458333333335</v>
      </c>
      <c r="F30" s="77">
        <f>(SUM($B$22:F22)-SUM($B$14:F14))/SUM($B$14:F14)</f>
        <v>2.0911458333333335</v>
      </c>
      <c r="G30" s="77">
        <f>(SUM($B$22:G22)-SUM($B$14:G14))/SUM($B$14:G14)</f>
        <v>2.0911458333333335</v>
      </c>
      <c r="H30" s="77"/>
      <c r="I30" s="77"/>
      <c r="J30" s="77"/>
      <c r="K30" s="77"/>
      <c r="L30" s="77"/>
      <c r="M30" s="78">
        <f>(M22-M14)/M14</f>
        <v>2.0911458333333335</v>
      </c>
    </row>
    <row r="31" spans="1:19" ht="14" x14ac:dyDescent="0.3">
      <c r="A31" s="2" t="s">
        <v>29</v>
      </c>
      <c r="B31" s="20">
        <f>(SUM(B23)-SUM(B15:B15))/SUM(B15:B15)</f>
        <v>-1</v>
      </c>
      <c r="C31" s="20">
        <f>(SUM($B$24:C24)-SUM($B$16:C16))/SUM($B$16:C16)</f>
        <v>1.2452830188679245</v>
      </c>
      <c r="D31" s="20">
        <f>(SUM($B$24:D24)-SUM($B$16:D16))/SUM($B$16:D16)</f>
        <v>1.9206801557898736</v>
      </c>
      <c r="E31" s="20">
        <f>(SUM($B$24:E24)-SUM($B$16:E16))/SUM($B$16:E16)</f>
        <v>1.9206801557898736</v>
      </c>
      <c r="F31" s="20">
        <f>(SUM($B$24:F24)-SUM($B$16:F16))/SUM($B$16:F16)</f>
        <v>1.9206801557898736</v>
      </c>
      <c r="G31" s="20">
        <f>(SUM($B$24:G24)-SUM($B$16:G16))/SUM($B$16:G16)</f>
        <v>1.9206801557898736</v>
      </c>
      <c r="H31" s="20"/>
      <c r="I31" s="20"/>
      <c r="J31" s="20"/>
      <c r="K31" s="20"/>
      <c r="L31" s="20"/>
      <c r="M31" s="59">
        <f>(M24-M16)/M16</f>
        <v>1.9206801557898736</v>
      </c>
    </row>
    <row r="32" spans="1:19" ht="14" x14ac:dyDescent="0.3">
      <c r="A32" s="2" t="s">
        <v>18</v>
      </c>
      <c r="B32" s="20"/>
      <c r="C32" s="20"/>
      <c r="D32" s="20"/>
      <c r="E32" s="20"/>
      <c r="F32" s="20"/>
      <c r="G32" s="20"/>
      <c r="H32" s="20"/>
      <c r="I32" s="20"/>
      <c r="J32" s="20"/>
      <c r="K32" s="20"/>
      <c r="L32" s="20"/>
      <c r="M32" s="19">
        <f>M24/M16</f>
        <v>2.9206801557898734</v>
      </c>
    </row>
    <row r="33" spans="1:15" s="71" customFormat="1" ht="13.9" customHeight="1" x14ac:dyDescent="0.3">
      <c r="A33" s="68" t="s">
        <v>4</v>
      </c>
      <c r="B33" s="68"/>
      <c r="C33" s="69"/>
      <c r="D33" s="69"/>
      <c r="E33" s="69"/>
      <c r="F33" s="69"/>
      <c r="G33" s="69"/>
      <c r="H33" s="69"/>
      <c r="I33" s="69"/>
      <c r="J33" s="69"/>
      <c r="K33" s="69"/>
      <c r="L33" s="69"/>
      <c r="M33" s="70">
        <f>M24-M16</f>
        <v>359.89676041295832</v>
      </c>
      <c r="O33" s="72"/>
    </row>
    <row r="34" spans="1:15" s="74" customFormat="1" ht="19.899999999999999" customHeight="1" x14ac:dyDescent="0.3">
      <c r="A34" s="73" t="s">
        <v>25</v>
      </c>
      <c r="M34" s="75">
        <f>MIRR(B27:L27,N4,N4)</f>
        <v>0.35389213077499937</v>
      </c>
    </row>
    <row r="36" spans="1:15" x14ac:dyDescent="0.25">
      <c r="A36" s="54" t="s">
        <v>23</v>
      </c>
    </row>
    <row r="37" spans="1:15" x14ac:dyDescent="0.25">
      <c r="A37" s="54" t="s">
        <v>46</v>
      </c>
    </row>
    <row r="39" spans="1:15" x14ac:dyDescent="0.25">
      <c r="B39" t="s">
        <v>31</v>
      </c>
      <c r="C39" t="s">
        <v>32</v>
      </c>
      <c r="D39" t="s">
        <v>33</v>
      </c>
      <c r="E39" t="s">
        <v>34</v>
      </c>
      <c r="F39" t="s">
        <v>35</v>
      </c>
      <c r="G39" t="s">
        <v>36</v>
      </c>
    </row>
    <row r="40" spans="1:15" x14ac:dyDescent="0.25">
      <c r="A40" t="s">
        <v>37</v>
      </c>
      <c r="B40" s="76">
        <f>B28</f>
        <v>-150</v>
      </c>
      <c r="C40" s="76">
        <f>C28+B40</f>
        <v>186.79245283018867</v>
      </c>
      <c r="D40" s="76">
        <f>D28+C40</f>
        <v>359.89676041295832</v>
      </c>
      <c r="E40" s="76">
        <f t="shared" ref="E40" si="7">E28+D40</f>
        <v>359.89676041295832</v>
      </c>
      <c r="F40" s="76"/>
      <c r="G40" s="76"/>
    </row>
  </sheetData>
  <mergeCells count="2">
    <mergeCell ref="A1:N1"/>
    <mergeCell ref="C6:L6"/>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CA588-C0F2-4747-B040-083D7AF4A3B8}">
  <dimension ref="A1:V40"/>
  <sheetViews>
    <sheetView topLeftCell="A37" workbookViewId="0">
      <selection activeCell="A37" sqref="A1:XFD1048576"/>
    </sheetView>
  </sheetViews>
  <sheetFormatPr defaultRowHeight="12.5" x14ac:dyDescent="0.25"/>
  <cols>
    <col min="1" max="1" width="45.1796875" customWidth="1"/>
    <col min="2" max="2" width="15.7265625" customWidth="1"/>
    <col min="3" max="3" width="21.26953125" customWidth="1"/>
    <col min="4" max="10" width="13" customWidth="1"/>
    <col min="11" max="13" width="14.1796875" customWidth="1"/>
    <col min="14" max="14" width="13.81640625" customWidth="1"/>
    <col min="15" max="15" width="14.26953125" customWidth="1"/>
    <col min="16" max="16" width="3.26953125" customWidth="1"/>
    <col min="18" max="18" width="11.1796875" bestFit="1" customWidth="1"/>
    <col min="19" max="20" width="12.7265625" bestFit="1" customWidth="1"/>
  </cols>
  <sheetData>
    <row r="1" spans="1:22" ht="17.25" customHeight="1" x14ac:dyDescent="0.35">
      <c r="A1" s="84" t="s">
        <v>22</v>
      </c>
      <c r="B1" s="84"/>
      <c r="C1" s="85"/>
      <c r="D1" s="85"/>
      <c r="E1" s="85"/>
      <c r="F1" s="85"/>
      <c r="G1" s="85"/>
      <c r="H1" s="85"/>
      <c r="I1" s="85"/>
      <c r="J1" s="85"/>
      <c r="K1" s="85"/>
      <c r="L1" s="85"/>
      <c r="M1" s="86"/>
      <c r="N1" s="86"/>
      <c r="O1" s="5"/>
      <c r="P1" s="5"/>
      <c r="Q1" s="5"/>
      <c r="R1" s="5"/>
      <c r="S1" s="5"/>
      <c r="T1" s="5"/>
      <c r="U1" s="5"/>
      <c r="V1" s="5"/>
    </row>
    <row r="2" spans="1:22" ht="12.75" customHeight="1" x14ac:dyDescent="0.35">
      <c r="A2" s="3"/>
      <c r="B2" s="3"/>
      <c r="C2" s="4"/>
      <c r="D2" s="4"/>
      <c r="E2" s="4"/>
      <c r="F2" s="4"/>
      <c r="G2" s="4"/>
      <c r="H2" s="4"/>
      <c r="I2" s="4"/>
      <c r="J2" s="4"/>
      <c r="K2" s="4"/>
      <c r="L2" s="4"/>
      <c r="M2" s="4"/>
      <c r="N2" s="5"/>
      <c r="O2" s="5"/>
      <c r="P2" s="5"/>
      <c r="Q2" s="5"/>
      <c r="R2" s="5"/>
      <c r="S2" s="5"/>
      <c r="T2" s="5"/>
      <c r="U2" s="5"/>
      <c r="V2" s="5"/>
    </row>
    <row r="3" spans="1:22" x14ac:dyDescent="0.25">
      <c r="A3" s="5"/>
      <c r="B3" s="5"/>
      <c r="C3" s="5"/>
      <c r="D3" s="5"/>
      <c r="E3" s="55"/>
      <c r="F3" s="5"/>
      <c r="G3" s="5"/>
      <c r="H3" s="5"/>
      <c r="I3" s="5"/>
      <c r="J3" s="5"/>
      <c r="K3" s="5"/>
      <c r="L3" s="5"/>
      <c r="M3" s="5" t="s">
        <v>42</v>
      </c>
      <c r="N3" s="5">
        <v>30</v>
      </c>
      <c r="P3" s="5"/>
    </row>
    <row r="4" spans="1:22" ht="14" x14ac:dyDescent="0.3">
      <c r="A4" s="54" t="s">
        <v>49</v>
      </c>
      <c r="M4" s="14" t="s">
        <v>0</v>
      </c>
      <c r="N4" s="15">
        <v>0.06</v>
      </c>
      <c r="O4" s="7"/>
      <c r="P4" s="5"/>
    </row>
    <row r="5" spans="1:22" ht="10.5" customHeight="1" thickBot="1" x14ac:dyDescent="0.35">
      <c r="A5" s="8"/>
      <c r="B5" s="8"/>
      <c r="C5" s="6"/>
      <c r="D5" s="6"/>
      <c r="E5" s="6"/>
      <c r="F5" s="6"/>
      <c r="G5" s="6"/>
      <c r="H5" s="6"/>
      <c r="I5" s="6"/>
      <c r="J5" s="6"/>
      <c r="K5" s="6"/>
      <c r="L5" s="6"/>
      <c r="M5" s="6"/>
      <c r="N5" s="6"/>
      <c r="O5" s="6"/>
      <c r="P5" s="5"/>
    </row>
    <row r="6" spans="1:22" ht="14" x14ac:dyDescent="0.3">
      <c r="A6" s="16"/>
      <c r="B6" s="16"/>
      <c r="C6" s="82" t="s">
        <v>16</v>
      </c>
      <c r="D6" s="82"/>
      <c r="E6" s="82"/>
      <c r="F6" s="82"/>
      <c r="G6" s="82"/>
      <c r="H6" s="82"/>
      <c r="I6" s="82"/>
      <c r="J6" s="82"/>
      <c r="K6" s="82"/>
      <c r="L6" s="83"/>
      <c r="M6" s="18" t="s">
        <v>1</v>
      </c>
      <c r="O6" s="5"/>
    </row>
    <row r="7" spans="1:22" ht="14" x14ac:dyDescent="0.3">
      <c r="B7" s="62">
        <v>0</v>
      </c>
      <c r="C7" s="12">
        <v>1</v>
      </c>
      <c r="D7" s="12">
        <v>2</v>
      </c>
      <c r="E7" s="12">
        <v>3</v>
      </c>
      <c r="F7" s="12">
        <v>4</v>
      </c>
      <c r="G7" s="12">
        <v>5</v>
      </c>
      <c r="H7" s="12">
        <v>6</v>
      </c>
      <c r="I7" s="12">
        <v>7</v>
      </c>
      <c r="J7" s="12">
        <v>8</v>
      </c>
      <c r="K7" s="12">
        <v>9</v>
      </c>
      <c r="L7" s="12">
        <v>10</v>
      </c>
      <c r="M7" s="17" t="s">
        <v>2</v>
      </c>
      <c r="O7" s="5"/>
    </row>
    <row r="8" spans="1:22" ht="14" x14ac:dyDescent="0.3">
      <c r="A8" s="13" t="s">
        <v>27</v>
      </c>
      <c r="B8" s="13"/>
      <c r="C8" s="81"/>
      <c r="D8" s="81"/>
      <c r="E8" s="81"/>
      <c r="F8" s="1"/>
      <c r="G8" s="1"/>
      <c r="H8" s="1"/>
      <c r="I8" s="1"/>
      <c r="J8" s="1"/>
      <c r="K8" s="1"/>
      <c r="L8" s="1"/>
      <c r="O8" s="5"/>
    </row>
    <row r="9" spans="1:22" ht="14" x14ac:dyDescent="0.3">
      <c r="A9" s="34" t="s">
        <v>10</v>
      </c>
      <c r="B9" s="60">
        <v>1000</v>
      </c>
      <c r="C9" s="21"/>
      <c r="D9" s="21"/>
      <c r="E9" s="21"/>
      <c r="F9" s="21"/>
      <c r="G9" s="21"/>
      <c r="H9" s="21"/>
      <c r="I9" s="21"/>
      <c r="J9" s="21"/>
      <c r="K9" s="21"/>
      <c r="L9" s="21"/>
      <c r="M9" s="26"/>
      <c r="O9" s="5"/>
      <c r="S9" s="9"/>
    </row>
    <row r="10" spans="1:22" ht="14" x14ac:dyDescent="0.3">
      <c r="A10" s="42" t="s">
        <v>21</v>
      </c>
      <c r="B10" s="61">
        <v>0</v>
      </c>
      <c r="C10" s="22"/>
      <c r="D10" s="22">
        <v>0</v>
      </c>
      <c r="E10" s="22"/>
      <c r="F10" s="22"/>
      <c r="G10" s="22"/>
      <c r="H10" s="22"/>
      <c r="I10" s="22"/>
      <c r="J10" s="22"/>
      <c r="K10" s="22"/>
      <c r="L10" s="22"/>
      <c r="M10" s="27"/>
      <c r="O10" s="5"/>
      <c r="Q10" s="11"/>
      <c r="S10" s="9"/>
    </row>
    <row r="11" spans="1:22" ht="14" x14ac:dyDescent="0.3">
      <c r="A11" s="42" t="s">
        <v>15</v>
      </c>
      <c r="B11" s="64"/>
      <c r="C11" s="25">
        <v>0</v>
      </c>
      <c r="D11" s="25">
        <v>0</v>
      </c>
      <c r="E11" s="25"/>
      <c r="F11" s="25"/>
      <c r="G11" s="25"/>
      <c r="H11" s="25"/>
      <c r="I11" s="25"/>
      <c r="J11" s="25"/>
      <c r="K11" s="25"/>
      <c r="L11" s="25"/>
      <c r="M11" s="27"/>
      <c r="O11" s="5"/>
      <c r="Q11" s="11"/>
      <c r="S11" s="9"/>
    </row>
    <row r="12" spans="1:22" ht="14" x14ac:dyDescent="0.3">
      <c r="A12" s="34" t="s">
        <v>50</v>
      </c>
      <c r="B12" s="60"/>
      <c r="C12" s="25"/>
      <c r="D12" s="25">
        <f>(C20-C19)*$N$3</f>
        <v>46.499999999999993</v>
      </c>
      <c r="E12" s="25">
        <f>(D20-D19)*$N$3</f>
        <v>28.5</v>
      </c>
      <c r="F12" s="25">
        <f>(E20-E19)*$N$3</f>
        <v>7.8000000000000069</v>
      </c>
      <c r="G12" s="25">
        <f t="shared" ref="F12:G12" si="0">(F20-F19)*$N$3</f>
        <v>20.399999999999999</v>
      </c>
      <c r="H12" s="25"/>
      <c r="I12" s="25"/>
      <c r="J12" s="25"/>
      <c r="K12" s="25"/>
      <c r="L12" s="25"/>
      <c r="M12" s="27"/>
      <c r="O12" s="5"/>
      <c r="Q12" s="11"/>
      <c r="S12" s="9"/>
    </row>
    <row r="13" spans="1:22" ht="14" x14ac:dyDescent="0.3">
      <c r="A13" s="34" t="s">
        <v>9</v>
      </c>
      <c r="B13" s="60"/>
      <c r="C13" s="25"/>
      <c r="D13" s="25"/>
      <c r="E13" s="25"/>
      <c r="F13" s="25"/>
      <c r="G13" s="25"/>
      <c r="H13" s="25"/>
      <c r="I13" s="25"/>
      <c r="J13" s="25"/>
      <c r="K13" s="25"/>
      <c r="L13" s="25"/>
      <c r="M13" s="27"/>
      <c r="O13" s="5"/>
      <c r="Q13" s="11"/>
      <c r="S13" s="9"/>
    </row>
    <row r="14" spans="1:22" ht="14" x14ac:dyDescent="0.3">
      <c r="A14" s="36" t="s">
        <v>3</v>
      </c>
      <c r="B14" s="66">
        <f>SUM(B9:B13)</f>
        <v>1000</v>
      </c>
      <c r="C14" s="23">
        <f>SUM(C9:C13)</f>
        <v>0</v>
      </c>
      <c r="D14" s="23">
        <f t="shared" ref="D14:G14" si="1">SUM(D9:D13)</f>
        <v>46.499999999999993</v>
      </c>
      <c r="E14" s="23">
        <f>SUM(E9:E13)</f>
        <v>28.5</v>
      </c>
      <c r="F14" s="23">
        <f t="shared" si="1"/>
        <v>7.8000000000000069</v>
      </c>
      <c r="G14" s="23">
        <f t="shared" si="1"/>
        <v>20.399999999999999</v>
      </c>
      <c r="H14" s="23"/>
      <c r="I14" s="23"/>
      <c r="J14" s="23"/>
      <c r="K14" s="23"/>
      <c r="L14" s="23"/>
      <c r="M14" s="57">
        <f>SUM(B14:L14)</f>
        <v>1103.2</v>
      </c>
      <c r="O14" s="5"/>
      <c r="Q14" s="11"/>
      <c r="S14" s="9"/>
    </row>
    <row r="15" spans="1:22" ht="14" x14ac:dyDescent="0.3">
      <c r="A15" s="34" t="s">
        <v>5</v>
      </c>
      <c r="B15" s="65">
        <v>1</v>
      </c>
      <c r="C15" s="24">
        <f>1/(1+$N$4)^C7</f>
        <v>0.94339622641509424</v>
      </c>
      <c r="D15" s="24">
        <f>1/(1+$N$4)^D7</f>
        <v>0.88999644001423983</v>
      </c>
      <c r="E15" s="24">
        <f>1/(1+$N$4)^E7</f>
        <v>0.8396192830323016</v>
      </c>
      <c r="F15" s="24">
        <f t="shared" ref="F15:G15" si="2">1/(1+$N$4)^F7</f>
        <v>0.79209366323802044</v>
      </c>
      <c r="G15" s="24">
        <f t="shared" si="2"/>
        <v>0.74725817286605689</v>
      </c>
      <c r="H15" s="24"/>
      <c r="I15" s="24"/>
      <c r="J15" s="24"/>
      <c r="K15" s="24"/>
      <c r="L15" s="24"/>
      <c r="M15" s="57"/>
      <c r="O15" s="5"/>
      <c r="Q15" s="11"/>
      <c r="S15" s="9"/>
    </row>
    <row r="16" spans="1:22" s="38" customFormat="1" ht="14" x14ac:dyDescent="0.3">
      <c r="A16" s="36" t="s">
        <v>6</v>
      </c>
      <c r="B16" s="63">
        <f>B14*B15</f>
        <v>1000</v>
      </c>
      <c r="C16" s="56">
        <f>C14*C15</f>
        <v>0</v>
      </c>
      <c r="D16" s="56">
        <f t="shared" ref="D16:G16" si="3">D14*D15</f>
        <v>41.384834460662148</v>
      </c>
      <c r="E16" s="56">
        <f t="shared" si="3"/>
        <v>23.929149566420595</v>
      </c>
      <c r="F16" s="56">
        <f t="shared" si="3"/>
        <v>6.1783305732565648</v>
      </c>
      <c r="G16" s="56">
        <f t="shared" si="3"/>
        <v>15.24406672646756</v>
      </c>
      <c r="H16" s="56"/>
      <c r="I16" s="56"/>
      <c r="J16" s="56"/>
      <c r="K16" s="56"/>
      <c r="L16" s="56"/>
      <c r="M16" s="57">
        <f>SUM(B16:L16)</f>
        <v>1086.7363813268068</v>
      </c>
      <c r="O16" s="39"/>
      <c r="Q16" s="40"/>
      <c r="S16" s="41"/>
    </row>
    <row r="17" spans="1:19" ht="14" x14ac:dyDescent="0.3">
      <c r="A17" s="34"/>
      <c r="B17" s="34"/>
      <c r="C17" s="28"/>
      <c r="D17" s="28"/>
      <c r="E17" s="28"/>
      <c r="F17" s="28"/>
      <c r="G17" s="28"/>
      <c r="H17" s="28"/>
      <c r="I17" s="28"/>
      <c r="J17" s="28"/>
      <c r="K17" s="28"/>
      <c r="L17" s="28"/>
      <c r="M17" s="26"/>
      <c r="O17" s="5"/>
      <c r="Q17" s="11"/>
      <c r="S17" s="9"/>
    </row>
    <row r="18" spans="1:19" ht="14" x14ac:dyDescent="0.3">
      <c r="A18" s="35" t="s">
        <v>28</v>
      </c>
      <c r="B18" s="35"/>
      <c r="C18" s="29"/>
      <c r="D18" s="29"/>
      <c r="E18" s="29"/>
      <c r="F18" s="29"/>
      <c r="G18" s="29"/>
      <c r="H18" s="29"/>
      <c r="I18" s="29"/>
      <c r="J18" s="29"/>
      <c r="K18" s="29"/>
      <c r="L18" s="29"/>
      <c r="M18" s="30"/>
      <c r="O18" s="5"/>
      <c r="Q18" s="11"/>
      <c r="S18" s="9"/>
    </row>
    <row r="19" spans="1:19" ht="14" x14ac:dyDescent="0.3">
      <c r="A19" s="34" t="s">
        <v>14</v>
      </c>
      <c r="B19" s="34"/>
      <c r="C19" s="87">
        <v>0.5</v>
      </c>
      <c r="D19" s="87">
        <v>0.5</v>
      </c>
      <c r="E19" s="87">
        <v>1.9</v>
      </c>
      <c r="F19" s="87">
        <v>1.2</v>
      </c>
      <c r="G19" s="87">
        <v>0.43</v>
      </c>
      <c r="H19" s="43"/>
      <c r="I19" s="43"/>
      <c r="J19" s="43"/>
      <c r="K19" s="43"/>
      <c r="L19" s="43"/>
      <c r="M19" s="37">
        <f>SUM(C19:L19)</f>
        <v>4.5299999999999994</v>
      </c>
      <c r="O19" s="5"/>
      <c r="Q19" s="11"/>
      <c r="S19" s="9"/>
    </row>
    <row r="20" spans="1:19" ht="14" x14ac:dyDescent="0.3">
      <c r="A20" s="34" t="s">
        <v>13</v>
      </c>
      <c r="B20" s="34"/>
      <c r="C20" s="87">
        <v>2.0499999999999998</v>
      </c>
      <c r="D20" s="87">
        <v>1.45</v>
      </c>
      <c r="E20" s="87">
        <v>2.16</v>
      </c>
      <c r="F20" s="87">
        <v>1.88</v>
      </c>
      <c r="G20" s="87">
        <v>0.48</v>
      </c>
      <c r="H20" s="43"/>
      <c r="I20" s="43"/>
      <c r="J20" s="43"/>
      <c r="K20" s="43"/>
      <c r="L20" s="43"/>
      <c r="M20" s="37">
        <f>SUM(C20:L20)</f>
        <v>8.02</v>
      </c>
      <c r="O20" s="5"/>
      <c r="Q20" s="11"/>
      <c r="S20" s="9"/>
    </row>
    <row r="21" spans="1:19" ht="14" x14ac:dyDescent="0.3">
      <c r="A21" s="34" t="s">
        <v>30</v>
      </c>
      <c r="B21" s="34"/>
      <c r="C21" s="88">
        <v>255</v>
      </c>
      <c r="D21" s="88">
        <v>255</v>
      </c>
      <c r="E21" s="88">
        <v>456</v>
      </c>
      <c r="F21" s="88">
        <v>255</v>
      </c>
      <c r="G21" s="88">
        <v>255</v>
      </c>
      <c r="H21" s="44"/>
      <c r="I21" s="44"/>
      <c r="J21" s="44"/>
      <c r="K21" s="44"/>
      <c r="L21" s="44"/>
      <c r="M21" s="30"/>
      <c r="O21" s="5"/>
      <c r="Q21" s="11"/>
      <c r="S21" s="9"/>
    </row>
    <row r="22" spans="1:19" ht="14" x14ac:dyDescent="0.3">
      <c r="A22" s="34" t="s">
        <v>11</v>
      </c>
      <c r="B22" s="34"/>
      <c r="C22" s="29">
        <f>(C20-C19)*C21</f>
        <v>395.24999999999994</v>
      </c>
      <c r="D22" s="29">
        <f t="shared" ref="D22:G22" si="4">(D20-D19)*D21</f>
        <v>242.25</v>
      </c>
      <c r="E22" s="29">
        <f t="shared" si="4"/>
        <v>118.5600000000001</v>
      </c>
      <c r="F22" s="29">
        <f t="shared" si="4"/>
        <v>173.39999999999998</v>
      </c>
      <c r="G22" s="29">
        <f t="shared" si="4"/>
        <v>12.749999999999996</v>
      </c>
      <c r="H22" s="29"/>
      <c r="I22" s="29"/>
      <c r="J22" s="29"/>
      <c r="K22" s="29"/>
      <c r="L22" s="29"/>
      <c r="M22" s="48">
        <f>SUM(C22:L22)</f>
        <v>942.21</v>
      </c>
      <c r="O22" s="5"/>
      <c r="Q22" s="11"/>
      <c r="S22" s="9"/>
    </row>
    <row r="23" spans="1:19" ht="14" x14ac:dyDescent="0.3">
      <c r="A23" s="34"/>
      <c r="B23" s="34"/>
      <c r="C23" s="45"/>
      <c r="D23" s="45"/>
      <c r="E23" s="45"/>
      <c r="F23" s="45"/>
      <c r="G23" s="45"/>
      <c r="H23" s="45"/>
      <c r="I23" s="45"/>
      <c r="J23" s="45"/>
      <c r="K23" s="45"/>
      <c r="L23" s="45"/>
      <c r="M23" s="46"/>
      <c r="O23" s="5"/>
      <c r="Q23" s="11"/>
      <c r="S23" s="9"/>
    </row>
    <row r="24" spans="1:19" s="38" customFormat="1" ht="14" x14ac:dyDescent="0.3">
      <c r="A24" s="36" t="s">
        <v>26</v>
      </c>
      <c r="B24" s="36"/>
      <c r="C24" s="47">
        <f>C22*C15</f>
        <v>372.87735849056594</v>
      </c>
      <c r="D24" s="47">
        <f t="shared" ref="D24:G24" si="5">D22*D15</f>
        <v>215.6016375934496</v>
      </c>
      <c r="E24" s="47">
        <f t="shared" si="5"/>
        <v>99.545262196309764</v>
      </c>
      <c r="F24" s="47">
        <f>F22*F15</f>
        <v>137.34904120547273</v>
      </c>
      <c r="G24" s="47">
        <f t="shared" si="5"/>
        <v>9.527541704042223</v>
      </c>
      <c r="H24" s="47"/>
      <c r="I24" s="47"/>
      <c r="J24" s="47"/>
      <c r="K24" s="47"/>
      <c r="L24" s="47"/>
      <c r="M24" s="48">
        <f>SUM(C24:L24)</f>
        <v>834.90084118984032</v>
      </c>
      <c r="O24" s="39"/>
      <c r="Q24" s="40"/>
      <c r="S24" s="41"/>
    </row>
    <row r="25" spans="1:19" ht="14" x14ac:dyDescent="0.3">
      <c r="A25" s="1"/>
      <c r="B25" s="1"/>
      <c r="C25" s="28"/>
      <c r="D25" s="28"/>
      <c r="E25" s="28"/>
      <c r="F25" s="28"/>
      <c r="G25" s="28"/>
      <c r="H25" s="28"/>
      <c r="I25" s="28"/>
      <c r="J25" s="28"/>
      <c r="K25" s="28"/>
      <c r="L25" s="28"/>
      <c r="M25" s="30"/>
      <c r="O25" s="5"/>
      <c r="S25" s="9"/>
    </row>
    <row r="26" spans="1:19" ht="14" x14ac:dyDescent="0.3">
      <c r="A26" s="13" t="s">
        <v>8</v>
      </c>
      <c r="B26" s="13"/>
      <c r="C26" s="31"/>
      <c r="D26" s="31"/>
      <c r="E26" s="31"/>
      <c r="F26" s="31"/>
      <c r="G26" s="31"/>
      <c r="H26" s="31"/>
      <c r="I26" s="31"/>
      <c r="J26" s="31"/>
      <c r="K26" s="31"/>
      <c r="L26" s="31"/>
      <c r="M26" s="10"/>
      <c r="O26" s="5"/>
      <c r="R26" s="11"/>
    </row>
    <row r="27" spans="1:19" s="54" customFormat="1" ht="14" x14ac:dyDescent="0.3">
      <c r="A27" s="1" t="s">
        <v>7</v>
      </c>
      <c r="B27" s="32">
        <f>B22-B14</f>
        <v>-1000</v>
      </c>
      <c r="C27" s="32">
        <f>C22-C14</f>
        <v>395.24999999999994</v>
      </c>
      <c r="D27" s="32">
        <f t="shared" ref="D27:G27" si="6">D22-D14</f>
        <v>195.75</v>
      </c>
      <c r="E27" s="32">
        <f t="shared" si="6"/>
        <v>90.060000000000102</v>
      </c>
      <c r="F27" s="32">
        <f t="shared" si="6"/>
        <v>165.59999999999997</v>
      </c>
      <c r="G27" s="32">
        <f t="shared" si="6"/>
        <v>-7.6500000000000021</v>
      </c>
      <c r="H27" s="32"/>
      <c r="I27" s="32"/>
      <c r="J27" s="32"/>
      <c r="K27" s="32"/>
      <c r="L27" s="32"/>
      <c r="M27" s="79">
        <f>SUM(B27:L27)</f>
        <v>-160.98999999999992</v>
      </c>
      <c r="O27" s="55"/>
      <c r="R27" s="80"/>
    </row>
    <row r="28" spans="1:19" ht="14" x14ac:dyDescent="0.3">
      <c r="A28" s="2" t="s">
        <v>20</v>
      </c>
      <c r="B28" s="32">
        <f>B24-B16</f>
        <v>-1000</v>
      </c>
      <c r="C28" s="32">
        <f>C24-C16</f>
        <v>372.87735849056594</v>
      </c>
      <c r="D28" s="32">
        <f t="shared" ref="D28:G28" si="7">D24-D16</f>
        <v>174.21680313278745</v>
      </c>
      <c r="E28" s="32">
        <f t="shared" si="7"/>
        <v>75.616112629889173</v>
      </c>
      <c r="F28" s="32">
        <f t="shared" si="7"/>
        <v>131.17071063221616</v>
      </c>
      <c r="G28" s="32">
        <f t="shared" si="7"/>
        <v>-5.716525022425337</v>
      </c>
      <c r="H28" s="32"/>
      <c r="I28" s="32"/>
      <c r="J28" s="32"/>
      <c r="K28" s="32"/>
      <c r="L28" s="32"/>
      <c r="M28" s="58">
        <f>SUM(B28:L28)</f>
        <v>-251.83554013696661</v>
      </c>
      <c r="O28" s="5"/>
      <c r="R28" s="11"/>
    </row>
    <row r="29" spans="1:19" ht="14" x14ac:dyDescent="0.3">
      <c r="A29" s="2" t="s">
        <v>19</v>
      </c>
      <c r="B29" s="32">
        <f>B28</f>
        <v>-1000</v>
      </c>
      <c r="C29" s="32">
        <f>B28+C28</f>
        <v>-627.12264150943406</v>
      </c>
      <c r="D29" s="32">
        <f>D28+C29</f>
        <v>-452.90583837664661</v>
      </c>
      <c r="E29" s="32">
        <f t="shared" ref="E29:G29" si="8">E28+D29</f>
        <v>-377.28972574675743</v>
      </c>
      <c r="F29" s="32">
        <f t="shared" si="8"/>
        <v>-246.11901511454127</v>
      </c>
      <c r="G29" s="32">
        <f t="shared" si="8"/>
        <v>-251.83554013696661</v>
      </c>
      <c r="H29" s="32"/>
      <c r="I29" s="32"/>
      <c r="J29" s="32"/>
      <c r="K29" s="32"/>
      <c r="L29" s="32"/>
      <c r="M29" s="58"/>
      <c r="O29" s="5"/>
      <c r="R29" s="11"/>
    </row>
    <row r="30" spans="1:19" s="54" customFormat="1" ht="14" x14ac:dyDescent="0.3">
      <c r="A30" s="1" t="s">
        <v>17</v>
      </c>
      <c r="B30" s="77">
        <f>(SUM(B22)-SUM(B14:B14))/SUM(B14:B14)</f>
        <v>-1</v>
      </c>
      <c r="C30" s="77">
        <f>(SUM($B$22:C22)-SUM($B$14:C14))/SUM($B$14:C14)</f>
        <v>-0.60475000000000001</v>
      </c>
      <c r="D30" s="77">
        <f>(SUM($B$22:D22)-SUM($B$14:D14))/SUM($B$14:D14)</f>
        <v>-0.3908265647396082</v>
      </c>
      <c r="E30" s="77">
        <f>(SUM($B$22:E22)-SUM($B$14:E14))/SUM($B$14:E14)</f>
        <v>-0.29668837209302318</v>
      </c>
      <c r="F30" s="77">
        <f>(SUM($B$22:F22)-SUM($B$14:F14))/SUM($B$14:F14)</f>
        <v>-0.14161433321019573</v>
      </c>
      <c r="G30" s="77">
        <f>(SUM($B$22:G22)-SUM($B$14:G14))/SUM($B$14:G14)</f>
        <v>-0.14593002175489486</v>
      </c>
      <c r="H30" s="77"/>
      <c r="I30" s="77"/>
      <c r="J30" s="77"/>
      <c r="K30" s="77"/>
      <c r="L30" s="77"/>
      <c r="M30" s="78">
        <f>(M22-M14)/M14</f>
        <v>-0.14593002175489486</v>
      </c>
    </row>
    <row r="31" spans="1:19" ht="14" x14ac:dyDescent="0.3">
      <c r="A31" s="2" t="s">
        <v>29</v>
      </c>
      <c r="B31" s="20">
        <f>(SUM(B23)-SUM(B15:B15))/SUM(B15:B15)</f>
        <v>-1</v>
      </c>
      <c r="C31" s="20">
        <f>(SUM($B$24:C24)-SUM($B$16:C16))/SUM($B$16:C16)</f>
        <v>-0.62712264150943409</v>
      </c>
      <c r="D31" s="20">
        <f>(SUM($B$24:D24)-SUM($B$16:D16))/SUM($B$16:D16)</f>
        <v>-0.43490727288265973</v>
      </c>
      <c r="E31" s="20">
        <f>(SUM($B$24:E24)-SUM($B$16:E16))/SUM($B$16:E16)</f>
        <v>-0.35415824010920516</v>
      </c>
      <c r="F31" s="20">
        <f>(SUM($B$24:F24)-SUM($B$16:F16))/SUM($B$16:F16)</f>
        <v>-0.22969741524123047</v>
      </c>
      <c r="G31" s="20">
        <f>(SUM($B$24:G24)-SUM($B$16:G16))/SUM($B$16:G16)</f>
        <v>-0.23173563015300741</v>
      </c>
      <c r="H31" s="20"/>
      <c r="I31" s="20"/>
      <c r="J31" s="20"/>
      <c r="K31" s="20"/>
      <c r="L31" s="20"/>
      <c r="M31" s="59">
        <f>(M24-M16)/M16</f>
        <v>-0.23173563015300741</v>
      </c>
    </row>
    <row r="32" spans="1:19" ht="14" x14ac:dyDescent="0.3">
      <c r="A32" s="2" t="s">
        <v>18</v>
      </c>
      <c r="B32" s="20"/>
      <c r="C32" s="20"/>
      <c r="D32" s="20"/>
      <c r="E32" s="20"/>
      <c r="F32" s="20"/>
      <c r="G32" s="20"/>
      <c r="H32" s="20"/>
      <c r="I32" s="20"/>
      <c r="J32" s="20"/>
      <c r="K32" s="20"/>
      <c r="L32" s="20"/>
      <c r="M32" s="19">
        <f>M24/M16</f>
        <v>0.76826436984699265</v>
      </c>
    </row>
    <row r="33" spans="1:15" s="71" customFormat="1" ht="13.9" customHeight="1" x14ac:dyDescent="0.3">
      <c r="A33" s="68" t="s">
        <v>4</v>
      </c>
      <c r="B33" s="68"/>
      <c r="C33" s="69"/>
      <c r="D33" s="69"/>
      <c r="E33" s="69"/>
      <c r="F33" s="69"/>
      <c r="G33" s="69"/>
      <c r="H33" s="69"/>
      <c r="I33" s="69"/>
      <c r="J33" s="69"/>
      <c r="K33" s="69"/>
      <c r="L33" s="69"/>
      <c r="M33" s="70">
        <f>M24-M16</f>
        <v>-251.83554013696653</v>
      </c>
      <c r="O33" s="72"/>
    </row>
    <row r="34" spans="1:15" s="74" customFormat="1" ht="19.899999999999999" customHeight="1" x14ac:dyDescent="0.3">
      <c r="A34" s="73" t="s">
        <v>25</v>
      </c>
      <c r="M34" s="75">
        <f>MIRR(B27:L27,N4,N4)</f>
        <v>6.2490007082893761E-4</v>
      </c>
    </row>
    <row r="36" spans="1:15" x14ac:dyDescent="0.25">
      <c r="A36" s="54" t="s">
        <v>23</v>
      </c>
    </row>
    <row r="37" spans="1:15" x14ac:dyDescent="0.25">
      <c r="A37" s="54" t="s">
        <v>46</v>
      </c>
    </row>
    <row r="39" spans="1:15" x14ac:dyDescent="0.25">
      <c r="B39" t="s">
        <v>31</v>
      </c>
      <c r="C39" t="s">
        <v>32</v>
      </c>
      <c r="D39" t="s">
        <v>33</v>
      </c>
      <c r="E39" t="s">
        <v>34</v>
      </c>
      <c r="F39" t="s">
        <v>35</v>
      </c>
      <c r="G39" t="s">
        <v>36</v>
      </c>
    </row>
    <row r="40" spans="1:15" x14ac:dyDescent="0.25">
      <c r="A40" t="s">
        <v>37</v>
      </c>
      <c r="B40" s="76">
        <f>B28</f>
        <v>-1000</v>
      </c>
      <c r="C40" s="76">
        <f>C28+B40</f>
        <v>-627.12264150943406</v>
      </c>
      <c r="D40" s="76">
        <f>D28+C40</f>
        <v>-452.90583837664661</v>
      </c>
      <c r="E40" s="76">
        <f t="shared" ref="E40" si="9">E28+D40</f>
        <v>-377.28972574675743</v>
      </c>
      <c r="F40" s="76">
        <f>F28+E40</f>
        <v>-246.11901511454127</v>
      </c>
      <c r="G40" s="76">
        <f t="shared" ref="G40" si="10">G28+F40</f>
        <v>-251.83554013696661</v>
      </c>
    </row>
  </sheetData>
  <mergeCells count="2">
    <mergeCell ref="A1:N1"/>
    <mergeCell ref="C6:L6"/>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BF5B3-2C18-4F04-8108-1B7B2849FD1A}">
  <dimension ref="A1:V40"/>
  <sheetViews>
    <sheetView topLeftCell="A39" workbookViewId="0">
      <selection activeCell="A47" sqref="A1:XFD1048576"/>
    </sheetView>
  </sheetViews>
  <sheetFormatPr defaultRowHeight="12.5" x14ac:dyDescent="0.25"/>
  <cols>
    <col min="1" max="1" width="45.1796875" customWidth="1"/>
    <col min="2" max="2" width="15.7265625" customWidth="1"/>
    <col min="3" max="3" width="21.26953125" customWidth="1"/>
    <col min="4" max="10" width="13" customWidth="1"/>
    <col min="11" max="13" width="14.1796875" customWidth="1"/>
    <col min="14" max="14" width="13.81640625" customWidth="1"/>
    <col min="15" max="15" width="14.26953125" customWidth="1"/>
    <col min="16" max="16" width="3.26953125" customWidth="1"/>
    <col min="18" max="18" width="11.1796875" bestFit="1" customWidth="1"/>
    <col min="19" max="20" width="12.7265625" bestFit="1" customWidth="1"/>
  </cols>
  <sheetData>
    <row r="1" spans="1:22" ht="17.25" customHeight="1" x14ac:dyDescent="0.35">
      <c r="A1" s="84" t="s">
        <v>63</v>
      </c>
      <c r="B1" s="84"/>
      <c r="C1" s="85"/>
      <c r="D1" s="85"/>
      <c r="E1" s="85"/>
      <c r="F1" s="85"/>
      <c r="G1" s="85"/>
      <c r="H1" s="85"/>
      <c r="I1" s="85"/>
      <c r="J1" s="85"/>
      <c r="K1" s="85"/>
      <c r="L1" s="85"/>
      <c r="M1" s="86"/>
      <c r="N1" s="86"/>
      <c r="O1" s="5"/>
      <c r="P1" s="5"/>
      <c r="Q1" s="5"/>
      <c r="R1" s="5"/>
      <c r="S1" s="5"/>
      <c r="T1" s="5"/>
      <c r="U1" s="5"/>
      <c r="V1" s="5"/>
    </row>
    <row r="2" spans="1:22" ht="12.75" customHeight="1" x14ac:dyDescent="0.35">
      <c r="A2" s="3"/>
      <c r="B2" s="3"/>
      <c r="C2" s="4"/>
      <c r="D2" s="4"/>
      <c r="E2" s="4"/>
      <c r="F2" s="4"/>
      <c r="G2" s="4"/>
      <c r="H2" s="4"/>
      <c r="I2" s="4"/>
      <c r="J2" s="4"/>
      <c r="K2" s="4"/>
      <c r="L2" s="4"/>
      <c r="M2" s="4"/>
      <c r="N2" s="5"/>
      <c r="O2" s="5"/>
      <c r="P2" s="5"/>
      <c r="Q2" s="5"/>
      <c r="R2" s="5"/>
      <c r="S2" s="5"/>
      <c r="T2" s="5"/>
      <c r="U2" s="5"/>
      <c r="V2" s="5"/>
    </row>
    <row r="3" spans="1:22" x14ac:dyDescent="0.25">
      <c r="A3" s="5"/>
      <c r="B3" s="5"/>
      <c r="C3" s="5"/>
      <c r="D3" s="5"/>
      <c r="E3" s="55"/>
      <c r="F3" s="5"/>
      <c r="G3" s="5"/>
      <c r="H3" s="5"/>
      <c r="I3" s="5"/>
      <c r="J3" s="5"/>
      <c r="K3" s="5"/>
      <c r="L3" s="5"/>
      <c r="M3" s="5" t="s">
        <v>42</v>
      </c>
      <c r="N3" s="5">
        <v>30</v>
      </c>
      <c r="P3" s="5"/>
    </row>
    <row r="4" spans="1:22" ht="14" x14ac:dyDescent="0.3">
      <c r="A4" s="54" t="s">
        <v>64</v>
      </c>
      <c r="M4" s="14" t="s">
        <v>0</v>
      </c>
      <c r="N4" s="15">
        <v>0.06</v>
      </c>
      <c r="O4" s="7"/>
      <c r="P4" s="5"/>
    </row>
    <row r="5" spans="1:22" ht="10.5" customHeight="1" thickBot="1" x14ac:dyDescent="0.35">
      <c r="A5" s="8"/>
      <c r="B5" s="8"/>
      <c r="C5" s="6"/>
      <c r="D5" s="6"/>
      <c r="E5" s="6"/>
      <c r="F5" s="6"/>
      <c r="G5" s="6"/>
      <c r="H5" s="6"/>
      <c r="I5" s="6"/>
      <c r="J5" s="6"/>
      <c r="K5" s="6"/>
      <c r="L5" s="6"/>
      <c r="M5" s="6"/>
      <c r="N5" s="6"/>
      <c r="O5" s="6"/>
      <c r="P5" s="5"/>
    </row>
    <row r="6" spans="1:22" ht="14" x14ac:dyDescent="0.3">
      <c r="A6" s="16"/>
      <c r="B6" s="16"/>
      <c r="C6" s="82" t="s">
        <v>16</v>
      </c>
      <c r="D6" s="82"/>
      <c r="E6" s="82"/>
      <c r="F6" s="82"/>
      <c r="G6" s="82"/>
      <c r="H6" s="82"/>
      <c r="I6" s="82"/>
      <c r="J6" s="82"/>
      <c r="K6" s="82"/>
      <c r="L6" s="83"/>
      <c r="M6" s="18" t="s">
        <v>1</v>
      </c>
      <c r="O6" s="5"/>
    </row>
    <row r="7" spans="1:22" ht="14" x14ac:dyDescent="0.3">
      <c r="B7" s="62">
        <v>0</v>
      </c>
      <c r="C7" s="12">
        <v>1</v>
      </c>
      <c r="D7" s="12">
        <v>2</v>
      </c>
      <c r="E7" s="12">
        <v>3</v>
      </c>
      <c r="F7" s="12">
        <v>4</v>
      </c>
      <c r="G7" s="12">
        <v>5</v>
      </c>
      <c r="H7" s="12">
        <v>6</v>
      </c>
      <c r="I7" s="12">
        <v>7</v>
      </c>
      <c r="J7" s="12">
        <v>8</v>
      </c>
      <c r="K7" s="12">
        <v>9</v>
      </c>
      <c r="L7" s="12">
        <v>10</v>
      </c>
      <c r="M7" s="17" t="s">
        <v>2</v>
      </c>
      <c r="O7" s="5"/>
    </row>
    <row r="8" spans="1:22" ht="14" x14ac:dyDescent="0.3">
      <c r="A8" s="13" t="s">
        <v>27</v>
      </c>
      <c r="B8" s="13"/>
      <c r="C8" s="81"/>
      <c r="D8" s="81"/>
      <c r="E8" s="81"/>
      <c r="F8" s="1"/>
      <c r="G8" s="1"/>
      <c r="H8" s="1"/>
      <c r="I8" s="1"/>
      <c r="J8" s="1"/>
      <c r="K8" s="1"/>
      <c r="L8" s="1"/>
      <c r="O8" s="5"/>
    </row>
    <row r="9" spans="1:22" ht="14" x14ac:dyDescent="0.3">
      <c r="A9" s="34" t="s">
        <v>10</v>
      </c>
      <c r="B9" s="60">
        <v>500</v>
      </c>
      <c r="C9" s="21"/>
      <c r="D9" s="21"/>
      <c r="E9" s="21"/>
      <c r="F9" s="21"/>
      <c r="G9" s="21"/>
      <c r="H9" s="21"/>
      <c r="I9" s="21"/>
      <c r="J9" s="21"/>
      <c r="K9" s="21"/>
      <c r="L9" s="21"/>
      <c r="M9" s="26"/>
      <c r="O9" s="5"/>
      <c r="S9" s="9"/>
    </row>
    <row r="10" spans="1:22" ht="14" x14ac:dyDescent="0.3">
      <c r="A10" s="42" t="s">
        <v>21</v>
      </c>
      <c r="B10" s="61">
        <v>0</v>
      </c>
      <c r="C10" s="22"/>
      <c r="D10" s="22">
        <v>0</v>
      </c>
      <c r="E10" s="22"/>
      <c r="F10" s="22"/>
      <c r="G10" s="22"/>
      <c r="H10" s="22"/>
      <c r="I10" s="22"/>
      <c r="J10" s="22"/>
      <c r="K10" s="22"/>
      <c r="L10" s="22"/>
      <c r="M10" s="27"/>
      <c r="O10" s="5"/>
      <c r="Q10" s="11"/>
      <c r="S10" s="9"/>
    </row>
    <row r="11" spans="1:22" ht="14" x14ac:dyDescent="0.3">
      <c r="A11" s="42" t="s">
        <v>15</v>
      </c>
      <c r="B11" s="64"/>
      <c r="C11" s="25">
        <v>0</v>
      </c>
      <c r="D11" s="25">
        <v>0</v>
      </c>
      <c r="E11" s="25"/>
      <c r="F11" s="25"/>
      <c r="G11" s="25"/>
      <c r="H11" s="25"/>
      <c r="I11" s="25"/>
      <c r="J11" s="25"/>
      <c r="K11" s="25"/>
      <c r="L11" s="25"/>
      <c r="M11" s="27"/>
      <c r="O11" s="5"/>
      <c r="Q11" s="11"/>
      <c r="S11" s="9"/>
    </row>
    <row r="12" spans="1:22" ht="14" x14ac:dyDescent="0.3">
      <c r="A12" s="34" t="s">
        <v>50</v>
      </c>
      <c r="B12" s="60"/>
      <c r="C12" s="25"/>
      <c r="D12" s="25">
        <f>(C20-C19)*$N$3</f>
        <v>46.499999999999993</v>
      </c>
      <c r="E12" s="25">
        <f>(D20-D19)*$N$3</f>
        <v>28.5</v>
      </c>
      <c r="F12" s="25">
        <f>(E20-E19)*$N$3</f>
        <v>7.8000000000000069</v>
      </c>
      <c r="G12" s="25">
        <f t="shared" ref="G12:H12" si="0">(F20-F19)*$N$3</f>
        <v>20.399999999999999</v>
      </c>
      <c r="H12" s="25"/>
      <c r="I12" s="25"/>
      <c r="J12" s="25"/>
      <c r="K12" s="25"/>
      <c r="L12" s="25"/>
      <c r="M12" s="27"/>
      <c r="O12" s="5"/>
      <c r="Q12" s="11"/>
      <c r="S12" s="9"/>
    </row>
    <row r="13" spans="1:22" ht="14" x14ac:dyDescent="0.3">
      <c r="A13" s="34" t="s">
        <v>9</v>
      </c>
      <c r="B13" s="60"/>
      <c r="C13" s="25"/>
      <c r="D13" s="25"/>
      <c r="E13" s="25"/>
      <c r="F13" s="25"/>
      <c r="G13" s="25"/>
      <c r="H13" s="25"/>
      <c r="I13" s="25"/>
      <c r="J13" s="25"/>
      <c r="K13" s="25"/>
      <c r="L13" s="25"/>
      <c r="M13" s="27"/>
      <c r="O13" s="5"/>
      <c r="Q13" s="11"/>
      <c r="S13" s="9"/>
    </row>
    <row r="14" spans="1:22" ht="14" x14ac:dyDescent="0.3">
      <c r="A14" s="36" t="s">
        <v>3</v>
      </c>
      <c r="B14" s="66">
        <f>SUM(B9:B13)</f>
        <v>500</v>
      </c>
      <c r="C14" s="23">
        <f>SUM(C9:C13)</f>
        <v>0</v>
      </c>
      <c r="D14" s="23">
        <f t="shared" ref="D14:G14" si="1">SUM(D9:D13)</f>
        <v>46.499999999999993</v>
      </c>
      <c r="E14" s="23">
        <f>SUM(E9:E13)</f>
        <v>28.5</v>
      </c>
      <c r="F14" s="23">
        <f t="shared" si="1"/>
        <v>7.8000000000000069</v>
      </c>
      <c r="G14" s="23">
        <f t="shared" si="1"/>
        <v>20.399999999999999</v>
      </c>
      <c r="H14" s="23"/>
      <c r="I14" s="23"/>
      <c r="J14" s="23"/>
      <c r="K14" s="23"/>
      <c r="L14" s="23"/>
      <c r="M14" s="57">
        <f>SUM(B14:L14)</f>
        <v>603.19999999999993</v>
      </c>
      <c r="O14" s="5"/>
      <c r="Q14" s="11"/>
      <c r="S14" s="9"/>
    </row>
    <row r="15" spans="1:22" ht="14" x14ac:dyDescent="0.3">
      <c r="A15" s="34" t="s">
        <v>5</v>
      </c>
      <c r="B15" s="65">
        <v>1</v>
      </c>
      <c r="C15" s="24">
        <f>1/(1+$N$4)^C7</f>
        <v>0.94339622641509424</v>
      </c>
      <c r="D15" s="24">
        <f>1/(1+$N$4)^D7</f>
        <v>0.88999644001423983</v>
      </c>
      <c r="E15" s="24">
        <f>1/(1+$N$4)^E7</f>
        <v>0.8396192830323016</v>
      </c>
      <c r="F15" s="24">
        <f t="shared" ref="F15:G15" si="2">1/(1+$N$4)^F7</f>
        <v>0.79209366323802044</v>
      </c>
      <c r="G15" s="24">
        <f t="shared" si="2"/>
        <v>0.74725817286605689</v>
      </c>
      <c r="H15" s="24"/>
      <c r="I15" s="24"/>
      <c r="J15" s="24"/>
      <c r="K15" s="24"/>
      <c r="L15" s="24"/>
      <c r="M15" s="57"/>
      <c r="O15" s="5"/>
      <c r="Q15" s="11"/>
      <c r="S15" s="9"/>
    </row>
    <row r="16" spans="1:22" s="38" customFormat="1" ht="14" x14ac:dyDescent="0.3">
      <c r="A16" s="36" t="s">
        <v>6</v>
      </c>
      <c r="B16" s="63">
        <f>B14*B15</f>
        <v>500</v>
      </c>
      <c r="C16" s="56">
        <f>C14*C15</f>
        <v>0</v>
      </c>
      <c r="D16" s="56">
        <f t="shared" ref="D16:G16" si="3">D14*D15</f>
        <v>41.384834460662148</v>
      </c>
      <c r="E16" s="56">
        <f t="shared" si="3"/>
        <v>23.929149566420595</v>
      </c>
      <c r="F16" s="56">
        <f t="shared" si="3"/>
        <v>6.1783305732565648</v>
      </c>
      <c r="G16" s="56">
        <f t="shared" si="3"/>
        <v>15.24406672646756</v>
      </c>
      <c r="H16" s="56"/>
      <c r="I16" s="56"/>
      <c r="J16" s="56"/>
      <c r="K16" s="56"/>
      <c r="L16" s="56"/>
      <c r="M16" s="57">
        <f>SUM(B16:L16)</f>
        <v>586.73638132680685</v>
      </c>
      <c r="O16" s="39"/>
      <c r="Q16" s="40"/>
      <c r="S16" s="41"/>
    </row>
    <row r="17" spans="1:19" ht="14" x14ac:dyDescent="0.3">
      <c r="A17" s="34"/>
      <c r="B17" s="34"/>
      <c r="C17" s="28"/>
      <c r="D17" s="28"/>
      <c r="E17" s="28"/>
      <c r="F17" s="28"/>
      <c r="G17" s="28"/>
      <c r="H17" s="28"/>
      <c r="I17" s="28"/>
      <c r="J17" s="28"/>
      <c r="K17" s="28"/>
      <c r="L17" s="28"/>
      <c r="M17" s="26"/>
      <c r="O17" s="5"/>
      <c r="Q17" s="11"/>
      <c r="S17" s="9"/>
    </row>
    <row r="18" spans="1:19" ht="14" x14ac:dyDescent="0.3">
      <c r="A18" s="35" t="s">
        <v>28</v>
      </c>
      <c r="B18" s="35"/>
      <c r="C18" s="29"/>
      <c r="D18" s="29"/>
      <c r="E18" s="29"/>
      <c r="F18" s="29"/>
      <c r="G18" s="29"/>
      <c r="H18" s="29"/>
      <c r="I18" s="29"/>
      <c r="J18" s="29"/>
      <c r="K18" s="29"/>
      <c r="L18" s="29"/>
      <c r="M18" s="30"/>
      <c r="O18" s="5"/>
      <c r="Q18" s="11"/>
      <c r="S18" s="9"/>
    </row>
    <row r="19" spans="1:19" ht="14" x14ac:dyDescent="0.3">
      <c r="A19" s="34" t="s">
        <v>14</v>
      </c>
      <c r="B19" s="34"/>
      <c r="C19" s="87">
        <v>0.5</v>
      </c>
      <c r="D19" s="87">
        <v>0.5</v>
      </c>
      <c r="E19" s="87">
        <v>1.9</v>
      </c>
      <c r="F19" s="87">
        <v>1.2</v>
      </c>
      <c r="G19" s="87">
        <v>0.43</v>
      </c>
      <c r="H19" s="43"/>
      <c r="I19" s="43"/>
      <c r="J19" s="43"/>
      <c r="K19" s="43"/>
      <c r="L19" s="43"/>
      <c r="M19" s="37">
        <f>SUM(C19:L19)</f>
        <v>4.5299999999999994</v>
      </c>
      <c r="O19" s="5"/>
      <c r="Q19" s="11"/>
      <c r="S19" s="9"/>
    </row>
    <row r="20" spans="1:19" ht="14" x14ac:dyDescent="0.3">
      <c r="A20" s="34" t="s">
        <v>13</v>
      </c>
      <c r="B20" s="34"/>
      <c r="C20" s="87">
        <v>2.0499999999999998</v>
      </c>
      <c r="D20" s="87">
        <v>1.45</v>
      </c>
      <c r="E20" s="87">
        <v>2.16</v>
      </c>
      <c r="F20" s="87">
        <v>1.88</v>
      </c>
      <c r="G20" s="87">
        <v>0.48</v>
      </c>
      <c r="H20" s="43"/>
      <c r="I20" s="43"/>
      <c r="J20" s="43"/>
      <c r="K20" s="43"/>
      <c r="L20" s="43"/>
      <c r="M20" s="37">
        <f>SUM(C20:L20)</f>
        <v>8.02</v>
      </c>
      <c r="O20" s="5"/>
      <c r="Q20" s="11"/>
      <c r="S20" s="9"/>
    </row>
    <row r="21" spans="1:19" ht="14" x14ac:dyDescent="0.3">
      <c r="A21" s="34" t="s">
        <v>30</v>
      </c>
      <c r="B21" s="34"/>
      <c r="C21" s="88">
        <v>255</v>
      </c>
      <c r="D21" s="88">
        <v>255</v>
      </c>
      <c r="E21" s="88">
        <v>456</v>
      </c>
      <c r="F21" s="88">
        <v>255</v>
      </c>
      <c r="G21" s="88">
        <v>255</v>
      </c>
      <c r="H21" s="44"/>
      <c r="I21" s="44"/>
      <c r="J21" s="44"/>
      <c r="K21" s="44"/>
      <c r="L21" s="44"/>
      <c r="M21" s="30"/>
      <c r="O21" s="5"/>
      <c r="Q21" s="11"/>
      <c r="S21" s="9"/>
    </row>
    <row r="22" spans="1:19" ht="14" x14ac:dyDescent="0.3">
      <c r="A22" s="34" t="s">
        <v>11</v>
      </c>
      <c r="B22" s="34"/>
      <c r="C22" s="29">
        <f>(C20-C19)*C21</f>
        <v>395.24999999999994</v>
      </c>
      <c r="D22" s="29">
        <f t="shared" ref="D22:G22" si="4">(D20-D19)*D21</f>
        <v>242.25</v>
      </c>
      <c r="E22" s="29">
        <f t="shared" si="4"/>
        <v>118.5600000000001</v>
      </c>
      <c r="F22" s="29">
        <f t="shared" si="4"/>
        <v>173.39999999999998</v>
      </c>
      <c r="G22" s="29">
        <f t="shared" si="4"/>
        <v>12.749999999999996</v>
      </c>
      <c r="H22" s="29"/>
      <c r="I22" s="29"/>
      <c r="J22" s="29"/>
      <c r="K22" s="29"/>
      <c r="L22" s="29"/>
      <c r="M22" s="48">
        <f>SUM(C22:L22)</f>
        <v>942.21</v>
      </c>
      <c r="O22" s="5"/>
      <c r="Q22" s="11"/>
      <c r="S22" s="9"/>
    </row>
    <row r="23" spans="1:19" ht="14" x14ac:dyDescent="0.3">
      <c r="A23" s="34"/>
      <c r="B23" s="34"/>
      <c r="C23" s="45"/>
      <c r="D23" s="45"/>
      <c r="E23" s="45"/>
      <c r="F23" s="45"/>
      <c r="G23" s="45"/>
      <c r="H23" s="45"/>
      <c r="I23" s="45"/>
      <c r="J23" s="45"/>
      <c r="K23" s="45"/>
      <c r="L23" s="45"/>
      <c r="M23" s="46"/>
      <c r="O23" s="5"/>
      <c r="Q23" s="11"/>
      <c r="S23" s="9"/>
    </row>
    <row r="24" spans="1:19" s="38" customFormat="1" ht="14" x14ac:dyDescent="0.3">
      <c r="A24" s="36" t="s">
        <v>26</v>
      </c>
      <c r="B24" s="36"/>
      <c r="C24" s="47">
        <f>C22*C15</f>
        <v>372.87735849056594</v>
      </c>
      <c r="D24" s="47">
        <f t="shared" ref="D24:G24" si="5">D22*D15</f>
        <v>215.6016375934496</v>
      </c>
      <c r="E24" s="47">
        <f t="shared" si="5"/>
        <v>99.545262196309764</v>
      </c>
      <c r="F24" s="47">
        <f>F22*F15</f>
        <v>137.34904120547273</v>
      </c>
      <c r="G24" s="47">
        <f t="shared" si="5"/>
        <v>9.527541704042223</v>
      </c>
      <c r="H24" s="47"/>
      <c r="I24" s="47"/>
      <c r="J24" s="47"/>
      <c r="K24" s="47"/>
      <c r="L24" s="47"/>
      <c r="M24" s="48">
        <f>SUM(C24:L24)</f>
        <v>834.90084118984032</v>
      </c>
      <c r="O24" s="39"/>
      <c r="Q24" s="40"/>
      <c r="S24" s="41"/>
    </row>
    <row r="25" spans="1:19" ht="14" x14ac:dyDescent="0.3">
      <c r="A25" s="1"/>
      <c r="B25" s="1"/>
      <c r="C25" s="28"/>
      <c r="D25" s="28"/>
      <c r="E25" s="28"/>
      <c r="F25" s="28"/>
      <c r="G25" s="28"/>
      <c r="H25" s="28"/>
      <c r="I25" s="28"/>
      <c r="J25" s="28"/>
      <c r="K25" s="28"/>
      <c r="L25" s="28"/>
      <c r="M25" s="30"/>
      <c r="O25" s="5"/>
      <c r="S25" s="9"/>
    </row>
    <row r="26" spans="1:19" ht="14" x14ac:dyDescent="0.3">
      <c r="A26" s="13" t="s">
        <v>8</v>
      </c>
      <c r="B26" s="13"/>
      <c r="C26" s="31"/>
      <c r="D26" s="31"/>
      <c r="E26" s="31"/>
      <c r="F26" s="31"/>
      <c r="G26" s="31"/>
      <c r="H26" s="31"/>
      <c r="I26" s="31"/>
      <c r="J26" s="31"/>
      <c r="K26" s="31"/>
      <c r="L26" s="31"/>
      <c r="M26" s="10"/>
      <c r="O26" s="5"/>
      <c r="R26" s="11"/>
    </row>
    <row r="27" spans="1:19" s="54" customFormat="1" ht="14" x14ac:dyDescent="0.3">
      <c r="A27" s="1" t="s">
        <v>7</v>
      </c>
      <c r="B27" s="32">
        <f>B22-B14</f>
        <v>-500</v>
      </c>
      <c r="C27" s="32">
        <f>C22-C14</f>
        <v>395.24999999999994</v>
      </c>
      <c r="D27" s="32">
        <f t="shared" ref="D27:G27" si="6">D22-D14</f>
        <v>195.75</v>
      </c>
      <c r="E27" s="32">
        <f t="shared" si="6"/>
        <v>90.060000000000102</v>
      </c>
      <c r="F27" s="32">
        <f t="shared" si="6"/>
        <v>165.59999999999997</v>
      </c>
      <c r="G27" s="32">
        <f t="shared" si="6"/>
        <v>-7.6500000000000021</v>
      </c>
      <c r="H27" s="32"/>
      <c r="I27" s="32"/>
      <c r="J27" s="32"/>
      <c r="K27" s="32"/>
      <c r="L27" s="32"/>
      <c r="M27" s="79">
        <f>SUM(B27:L27)</f>
        <v>339.01000000000005</v>
      </c>
      <c r="O27" s="55"/>
      <c r="R27" s="80"/>
    </row>
    <row r="28" spans="1:19" ht="14" x14ac:dyDescent="0.3">
      <c r="A28" s="2" t="s">
        <v>20</v>
      </c>
      <c r="B28" s="32">
        <f>B24-B16</f>
        <v>-500</v>
      </c>
      <c r="C28" s="32">
        <f>C24-C16</f>
        <v>372.87735849056594</v>
      </c>
      <c r="D28" s="32">
        <f t="shared" ref="D28:G28" si="7">D24-D16</f>
        <v>174.21680313278745</v>
      </c>
      <c r="E28" s="32">
        <f t="shared" si="7"/>
        <v>75.616112629889173</v>
      </c>
      <c r="F28" s="32">
        <f t="shared" si="7"/>
        <v>131.17071063221616</v>
      </c>
      <c r="G28" s="32">
        <f t="shared" si="7"/>
        <v>-5.716525022425337</v>
      </c>
      <c r="H28" s="32"/>
      <c r="I28" s="32"/>
      <c r="J28" s="32"/>
      <c r="K28" s="32"/>
      <c r="L28" s="32"/>
      <c r="M28" s="58">
        <f>SUM(B28:L28)</f>
        <v>248.16445986303336</v>
      </c>
      <c r="O28" s="5"/>
      <c r="R28" s="11"/>
    </row>
    <row r="29" spans="1:19" ht="14" x14ac:dyDescent="0.3">
      <c r="A29" s="2" t="s">
        <v>19</v>
      </c>
      <c r="B29" s="32">
        <f>B28</f>
        <v>-500</v>
      </c>
      <c r="C29" s="32">
        <f>B28+C28</f>
        <v>-127.12264150943406</v>
      </c>
      <c r="D29" s="32">
        <f>D28+C29</f>
        <v>47.094161623353386</v>
      </c>
      <c r="E29" s="32">
        <f t="shared" ref="E29:G29" si="8">E28+D29</f>
        <v>122.71027425324256</v>
      </c>
      <c r="F29" s="32">
        <f t="shared" si="8"/>
        <v>253.8809848854587</v>
      </c>
      <c r="G29" s="32">
        <f t="shared" si="8"/>
        <v>248.16445986303336</v>
      </c>
      <c r="H29" s="32"/>
      <c r="I29" s="32"/>
      <c r="J29" s="32"/>
      <c r="K29" s="32"/>
      <c r="L29" s="32"/>
      <c r="M29" s="58"/>
      <c r="O29" s="5"/>
      <c r="R29" s="11"/>
    </row>
    <row r="30" spans="1:19" s="54" customFormat="1" ht="14" x14ac:dyDescent="0.3">
      <c r="A30" s="1" t="s">
        <v>17</v>
      </c>
      <c r="B30" s="77">
        <f>(SUM(B22)-SUM(B14:B14))/SUM(B14:B14)</f>
        <v>-1</v>
      </c>
      <c r="C30" s="77">
        <f>(SUM($B$22:C22)-SUM($B$14:C14))/SUM($B$14:C14)</f>
        <v>-0.2095000000000001</v>
      </c>
      <c r="D30" s="77">
        <f>(SUM($B$22:D22)-SUM($B$14:D14))/SUM($B$14:D14)</f>
        <v>0.16651418115279049</v>
      </c>
      <c r="E30" s="77">
        <f>(SUM($B$22:E22)-SUM($B$14:E14))/SUM($B$14:E14)</f>
        <v>0.31488695652173926</v>
      </c>
      <c r="F30" s="77">
        <f>(SUM($B$22:F22)-SUM($B$14:F14))/SUM($B$14:F14)</f>
        <v>0.59481811942347307</v>
      </c>
      <c r="G30" s="77">
        <f>(SUM($B$22:G22)-SUM($B$14:G14))/SUM($B$14:G14)</f>
        <v>0.56201923076923099</v>
      </c>
      <c r="H30" s="77"/>
      <c r="I30" s="77"/>
      <c r="J30" s="77"/>
      <c r="K30" s="77"/>
      <c r="L30" s="77"/>
      <c r="M30" s="78">
        <f>(M22-M14)/M14</f>
        <v>0.56201923076923099</v>
      </c>
    </row>
    <row r="31" spans="1:19" ht="14" x14ac:dyDescent="0.3">
      <c r="A31" s="2" t="s">
        <v>29</v>
      </c>
      <c r="B31" s="20">
        <f>(SUM(B23)-SUM(B15:B15))/SUM(B15:B15)</f>
        <v>-1</v>
      </c>
      <c r="C31" s="20">
        <f>(SUM($B$24:C24)-SUM($B$16:C16))/SUM($B$16:C16)</f>
        <v>-0.25424528301886812</v>
      </c>
      <c r="D31" s="20">
        <f>(SUM($B$24:D24)-SUM($B$16:D16))/SUM($B$16:D16)</f>
        <v>8.6988328127568293E-2</v>
      </c>
      <c r="E31" s="20">
        <f>(SUM($B$24:E24)-SUM($B$16:E16))/SUM($B$16:E16)</f>
        <v>0.21706569750689858</v>
      </c>
      <c r="F31" s="20">
        <f>(SUM($B$24:F24)-SUM($B$16:F16))/SUM($B$16:F16)</f>
        <v>0.44424216809110517</v>
      </c>
      <c r="G31" s="20">
        <f>(SUM($B$24:G24)-SUM($B$16:G16))/SUM($B$16:G16)</f>
        <v>0.42295734125409229</v>
      </c>
      <c r="H31" s="20"/>
      <c r="I31" s="20"/>
      <c r="J31" s="20"/>
      <c r="K31" s="20"/>
      <c r="L31" s="20"/>
      <c r="M31" s="59">
        <f>(M24-M16)/M16</f>
        <v>0.42295734125409229</v>
      </c>
    </row>
    <row r="32" spans="1:19" ht="14" x14ac:dyDescent="0.3">
      <c r="A32" s="2" t="s">
        <v>18</v>
      </c>
      <c r="B32" s="20"/>
      <c r="C32" s="20"/>
      <c r="D32" s="20"/>
      <c r="E32" s="20"/>
      <c r="F32" s="20"/>
      <c r="G32" s="20"/>
      <c r="H32" s="20"/>
      <c r="I32" s="20"/>
      <c r="J32" s="20"/>
      <c r="K32" s="20"/>
      <c r="L32" s="20"/>
      <c r="M32" s="19">
        <f>M24/M16</f>
        <v>1.4229573412540923</v>
      </c>
    </row>
    <row r="33" spans="1:15" s="71" customFormat="1" ht="13.9" customHeight="1" x14ac:dyDescent="0.3">
      <c r="A33" s="68" t="s">
        <v>4</v>
      </c>
      <c r="B33" s="68"/>
      <c r="C33" s="69"/>
      <c r="D33" s="69"/>
      <c r="E33" s="69"/>
      <c r="F33" s="69"/>
      <c r="G33" s="69"/>
      <c r="H33" s="69"/>
      <c r="I33" s="69"/>
      <c r="J33" s="69"/>
      <c r="K33" s="69"/>
      <c r="L33" s="69"/>
      <c r="M33" s="70">
        <f>M24-M16</f>
        <v>248.16445986303347</v>
      </c>
      <c r="O33" s="72"/>
    </row>
    <row r="34" spans="1:15" s="74" customFormat="1" ht="19.899999999999999" customHeight="1" x14ac:dyDescent="0.3">
      <c r="A34" s="73" t="s">
        <v>25</v>
      </c>
      <c r="M34" s="75">
        <f>MIRR(B27:L27,N4,N4)</f>
        <v>0.14811395076914669</v>
      </c>
    </row>
    <row r="36" spans="1:15" x14ac:dyDescent="0.25">
      <c r="A36" s="54" t="s">
        <v>23</v>
      </c>
    </row>
    <row r="37" spans="1:15" x14ac:dyDescent="0.25">
      <c r="A37" s="54" t="s">
        <v>46</v>
      </c>
    </row>
    <row r="39" spans="1:15" x14ac:dyDescent="0.25">
      <c r="B39" t="s">
        <v>31</v>
      </c>
      <c r="C39" t="s">
        <v>32</v>
      </c>
      <c r="D39" t="s">
        <v>33</v>
      </c>
      <c r="E39" t="s">
        <v>34</v>
      </c>
      <c r="F39" t="s">
        <v>35</v>
      </c>
      <c r="G39" t="s">
        <v>36</v>
      </c>
    </row>
    <row r="40" spans="1:15" x14ac:dyDescent="0.25">
      <c r="A40" t="s">
        <v>37</v>
      </c>
      <c r="B40" s="76">
        <f>B28</f>
        <v>-500</v>
      </c>
      <c r="C40" s="76">
        <f>C28+B40</f>
        <v>-127.12264150943406</v>
      </c>
      <c r="D40" s="76">
        <f>D28+C40</f>
        <v>47.094161623353386</v>
      </c>
      <c r="E40" s="76">
        <f t="shared" ref="E40" si="9">E28+D40</f>
        <v>122.71027425324256</v>
      </c>
      <c r="F40" s="76">
        <f>F28+E40</f>
        <v>253.8809848854587</v>
      </c>
      <c r="G40" s="76">
        <f t="shared" ref="G40" si="10">G28+F40</f>
        <v>248.16445986303336</v>
      </c>
    </row>
  </sheetData>
  <mergeCells count="2">
    <mergeCell ref="A1:N1"/>
    <mergeCell ref="C6:L6"/>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0F9FE-B8DE-448C-A21B-98C07BE7AFEA}">
  <dimension ref="A1:V40"/>
  <sheetViews>
    <sheetView tabSelected="1" topLeftCell="A25" workbookViewId="0">
      <selection activeCell="Q46" sqref="Q46"/>
    </sheetView>
  </sheetViews>
  <sheetFormatPr defaultRowHeight="12.5" x14ac:dyDescent="0.25"/>
  <cols>
    <col min="1" max="1" width="45.1796875" customWidth="1"/>
    <col min="2" max="2" width="15.7265625" customWidth="1"/>
    <col min="3" max="3" width="21.26953125" customWidth="1"/>
    <col min="4" max="10" width="13" customWidth="1"/>
    <col min="11" max="13" width="14.1796875" customWidth="1"/>
    <col min="14" max="14" width="13.81640625" customWidth="1"/>
    <col min="15" max="15" width="14.26953125" customWidth="1"/>
    <col min="16" max="16" width="3.26953125" customWidth="1"/>
    <col min="18" max="18" width="11.1796875" bestFit="1" customWidth="1"/>
    <col min="19" max="20" width="12.7265625" bestFit="1" customWidth="1"/>
  </cols>
  <sheetData>
    <row r="1" spans="1:22" ht="17.25" customHeight="1" x14ac:dyDescent="0.35">
      <c r="A1" s="84" t="s">
        <v>63</v>
      </c>
      <c r="B1" s="84"/>
      <c r="C1" s="85"/>
      <c r="D1" s="85"/>
      <c r="E1" s="85"/>
      <c r="F1" s="85"/>
      <c r="G1" s="85"/>
      <c r="H1" s="85"/>
      <c r="I1" s="85"/>
      <c r="J1" s="85"/>
      <c r="K1" s="85"/>
      <c r="L1" s="85"/>
      <c r="M1" s="86"/>
      <c r="N1" s="86"/>
      <c r="O1" s="5"/>
      <c r="P1" s="5"/>
      <c r="Q1" s="5"/>
      <c r="R1" s="5"/>
      <c r="S1" s="5"/>
      <c r="T1" s="5"/>
      <c r="U1" s="5"/>
      <c r="V1" s="5"/>
    </row>
    <row r="2" spans="1:22" ht="12.75" customHeight="1" x14ac:dyDescent="0.35">
      <c r="A2" s="3"/>
      <c r="B2" s="3"/>
      <c r="C2" s="4"/>
      <c r="D2" s="4"/>
      <c r="E2" s="4"/>
      <c r="F2" s="4"/>
      <c r="G2" s="4"/>
      <c r="H2" s="4"/>
      <c r="I2" s="4"/>
      <c r="J2" s="4"/>
      <c r="K2" s="4"/>
      <c r="L2" s="4"/>
      <c r="M2" s="4"/>
      <c r="N2" s="5"/>
      <c r="O2" s="5"/>
      <c r="P2" s="5"/>
      <c r="Q2" s="5"/>
      <c r="R2" s="5"/>
      <c r="S2" s="5"/>
      <c r="T2" s="5"/>
      <c r="U2" s="5"/>
      <c r="V2" s="5"/>
    </row>
    <row r="3" spans="1:22" x14ac:dyDescent="0.25">
      <c r="A3" s="5"/>
      <c r="B3" s="5"/>
      <c r="C3" s="5"/>
      <c r="D3" s="5"/>
      <c r="E3" s="55"/>
      <c r="F3" s="5"/>
      <c r="G3" s="5"/>
      <c r="H3" s="5"/>
      <c r="I3" s="5"/>
      <c r="J3" s="5"/>
      <c r="K3" s="5"/>
      <c r="L3" s="5"/>
      <c r="M3" s="5" t="s">
        <v>42</v>
      </c>
      <c r="N3" s="5">
        <v>30</v>
      </c>
      <c r="P3" s="5"/>
    </row>
    <row r="4" spans="1:22" ht="14" x14ac:dyDescent="0.3">
      <c r="A4" s="54" t="s">
        <v>65</v>
      </c>
      <c r="M4" s="14" t="s">
        <v>0</v>
      </c>
      <c r="N4" s="15">
        <v>0.06</v>
      </c>
      <c r="O4" s="7"/>
      <c r="P4" s="5"/>
    </row>
    <row r="5" spans="1:22" ht="10.5" customHeight="1" thickBot="1" x14ac:dyDescent="0.35">
      <c r="A5" s="8"/>
      <c r="B5" s="8"/>
      <c r="C5" s="6"/>
      <c r="D5" s="6"/>
      <c r="E5" s="6"/>
      <c r="F5" s="6"/>
      <c r="G5" s="6"/>
      <c r="H5" s="6"/>
      <c r="I5" s="6"/>
      <c r="J5" s="6"/>
      <c r="K5" s="6"/>
      <c r="L5" s="6"/>
      <c r="M5" s="6"/>
      <c r="N5" s="6"/>
      <c r="O5" s="6"/>
      <c r="P5" s="5"/>
    </row>
    <row r="6" spans="1:22" ht="14" x14ac:dyDescent="0.3">
      <c r="A6" s="16"/>
      <c r="B6" s="16"/>
      <c r="C6" s="82" t="s">
        <v>16</v>
      </c>
      <c r="D6" s="82"/>
      <c r="E6" s="82"/>
      <c r="F6" s="82"/>
      <c r="G6" s="82"/>
      <c r="H6" s="82"/>
      <c r="I6" s="82"/>
      <c r="J6" s="82"/>
      <c r="K6" s="82"/>
      <c r="L6" s="83"/>
      <c r="M6" s="18" t="s">
        <v>1</v>
      </c>
      <c r="O6" s="5"/>
    </row>
    <row r="7" spans="1:22" ht="14" x14ac:dyDescent="0.3">
      <c r="B7" s="62">
        <v>0</v>
      </c>
      <c r="C7" s="12">
        <v>1</v>
      </c>
      <c r="D7" s="12">
        <v>2</v>
      </c>
      <c r="E7" s="12">
        <v>3</v>
      </c>
      <c r="F7" s="12">
        <v>4</v>
      </c>
      <c r="G7" s="12">
        <v>5</v>
      </c>
      <c r="H7" s="12">
        <v>6</v>
      </c>
      <c r="I7" s="12">
        <v>7</v>
      </c>
      <c r="J7" s="12">
        <v>8</v>
      </c>
      <c r="K7" s="12">
        <v>9</v>
      </c>
      <c r="L7" s="12">
        <v>10</v>
      </c>
      <c r="M7" s="17" t="s">
        <v>2</v>
      </c>
      <c r="O7" s="5"/>
    </row>
    <row r="8" spans="1:22" ht="14" x14ac:dyDescent="0.3">
      <c r="A8" s="13" t="s">
        <v>27</v>
      </c>
      <c r="B8" s="13"/>
      <c r="C8" s="81"/>
      <c r="D8" s="81"/>
      <c r="E8" s="81"/>
      <c r="F8" s="1"/>
      <c r="G8" s="1"/>
      <c r="H8" s="1"/>
      <c r="I8" s="1"/>
      <c r="J8" s="1"/>
      <c r="K8" s="1"/>
      <c r="L8" s="1"/>
      <c r="O8" s="5"/>
    </row>
    <row r="9" spans="1:22" ht="14" x14ac:dyDescent="0.3">
      <c r="A9" s="34" t="s">
        <v>10</v>
      </c>
      <c r="B9" s="60">
        <v>150</v>
      </c>
      <c r="C9" s="21"/>
      <c r="D9" s="21"/>
      <c r="E9" s="21"/>
      <c r="F9" s="21"/>
      <c r="G9" s="21"/>
      <c r="H9" s="21"/>
      <c r="I9" s="21"/>
      <c r="J9" s="21"/>
      <c r="K9" s="21"/>
      <c r="L9" s="21"/>
      <c r="M9" s="26"/>
      <c r="O9" s="5"/>
      <c r="S9" s="9"/>
    </row>
    <row r="10" spans="1:22" ht="14" x14ac:dyDescent="0.3">
      <c r="A10" s="42" t="s">
        <v>21</v>
      </c>
      <c r="B10" s="61">
        <v>0</v>
      </c>
      <c r="C10" s="22"/>
      <c r="D10" s="22">
        <v>0</v>
      </c>
      <c r="E10" s="22"/>
      <c r="F10" s="22"/>
      <c r="G10" s="22"/>
      <c r="H10" s="22"/>
      <c r="I10" s="22"/>
      <c r="J10" s="22"/>
      <c r="K10" s="22"/>
      <c r="L10" s="22"/>
      <c r="M10" s="27"/>
      <c r="O10" s="5"/>
      <c r="Q10" s="11"/>
      <c r="S10" s="9"/>
    </row>
    <row r="11" spans="1:22" ht="14" x14ac:dyDescent="0.3">
      <c r="A11" s="42" t="s">
        <v>15</v>
      </c>
      <c r="B11" s="64"/>
      <c r="C11" s="25">
        <v>0</v>
      </c>
      <c r="D11" s="25">
        <v>0</v>
      </c>
      <c r="E11" s="25"/>
      <c r="F11" s="25"/>
      <c r="G11" s="25"/>
      <c r="H11" s="25"/>
      <c r="I11" s="25"/>
      <c r="J11" s="25"/>
      <c r="K11" s="25"/>
      <c r="L11" s="25"/>
      <c r="M11" s="27"/>
      <c r="O11" s="5"/>
      <c r="Q11" s="11"/>
      <c r="S11" s="9"/>
    </row>
    <row r="12" spans="1:22" ht="14" x14ac:dyDescent="0.3">
      <c r="A12" s="34" t="s">
        <v>50</v>
      </c>
      <c r="B12" s="60"/>
      <c r="C12" s="25"/>
      <c r="D12" s="25">
        <f>(C20-C19)*$N$3</f>
        <v>30</v>
      </c>
      <c r="E12" s="25">
        <f>(D20-D19)*$N$3</f>
        <v>13.499999999999998</v>
      </c>
      <c r="F12" s="25">
        <f>(E20-E19)*$N$3</f>
        <v>15</v>
      </c>
      <c r="G12" s="25">
        <f t="shared" ref="G12:H12" si="0">(F20-F19)*$N$3</f>
        <v>15</v>
      </c>
      <c r="H12" s="25"/>
      <c r="I12" s="25"/>
      <c r="J12" s="25"/>
      <c r="K12" s="25"/>
      <c r="L12" s="25"/>
      <c r="M12" s="27"/>
      <c r="O12" s="5"/>
      <c r="Q12" s="11"/>
      <c r="S12" s="9"/>
    </row>
    <row r="13" spans="1:22" ht="14" x14ac:dyDescent="0.3">
      <c r="A13" s="34" t="s">
        <v>9</v>
      </c>
      <c r="B13" s="60"/>
      <c r="C13" s="25"/>
      <c r="D13" s="25"/>
      <c r="E13" s="25"/>
      <c r="F13" s="25"/>
      <c r="G13" s="25"/>
      <c r="H13" s="25"/>
      <c r="I13" s="25"/>
      <c r="J13" s="25"/>
      <c r="K13" s="25"/>
      <c r="L13" s="25"/>
      <c r="M13" s="27"/>
      <c r="O13" s="5"/>
      <c r="Q13" s="11"/>
      <c r="S13" s="9"/>
    </row>
    <row r="14" spans="1:22" ht="14" x14ac:dyDescent="0.3">
      <c r="A14" s="36" t="s">
        <v>3</v>
      </c>
      <c r="B14" s="66">
        <f>SUM(B9:B13)</f>
        <v>150</v>
      </c>
      <c r="C14" s="23">
        <f>SUM(C9:C13)</f>
        <v>0</v>
      </c>
      <c r="D14" s="23">
        <f t="shared" ref="D14:G14" si="1">SUM(D9:D13)</f>
        <v>30</v>
      </c>
      <c r="E14" s="23">
        <f>SUM(E9:E13)</f>
        <v>13.499999999999998</v>
      </c>
      <c r="F14" s="23">
        <f t="shared" si="1"/>
        <v>15</v>
      </c>
      <c r="G14" s="23">
        <f t="shared" si="1"/>
        <v>15</v>
      </c>
      <c r="H14" s="23"/>
      <c r="I14" s="23"/>
      <c r="J14" s="23"/>
      <c r="K14" s="23"/>
      <c r="L14" s="23"/>
      <c r="M14" s="57">
        <f>SUM(B14:L14)</f>
        <v>223.5</v>
      </c>
      <c r="O14" s="5"/>
      <c r="Q14" s="11"/>
      <c r="S14" s="9"/>
    </row>
    <row r="15" spans="1:22" ht="14" x14ac:dyDescent="0.3">
      <c r="A15" s="34" t="s">
        <v>5</v>
      </c>
      <c r="B15" s="65">
        <v>1</v>
      </c>
      <c r="C15" s="24">
        <f>1/(1+$N$4)^C7</f>
        <v>0.94339622641509424</v>
      </c>
      <c r="D15" s="24">
        <f>1/(1+$N$4)^D7</f>
        <v>0.88999644001423983</v>
      </c>
      <c r="E15" s="24">
        <f>1/(1+$N$4)^E7</f>
        <v>0.8396192830323016</v>
      </c>
      <c r="F15" s="24">
        <f t="shared" ref="F15:G15" si="2">1/(1+$N$4)^F7</f>
        <v>0.79209366323802044</v>
      </c>
      <c r="G15" s="24">
        <f t="shared" si="2"/>
        <v>0.74725817286605689</v>
      </c>
      <c r="H15" s="24"/>
      <c r="I15" s="24"/>
      <c r="J15" s="24"/>
      <c r="K15" s="24"/>
      <c r="L15" s="24"/>
      <c r="M15" s="57"/>
      <c r="O15" s="5"/>
      <c r="Q15" s="11"/>
      <c r="S15" s="9"/>
    </row>
    <row r="16" spans="1:22" s="38" customFormat="1" ht="14" x14ac:dyDescent="0.3">
      <c r="A16" s="36" t="s">
        <v>6</v>
      </c>
      <c r="B16" s="63">
        <f>B14*B15</f>
        <v>150</v>
      </c>
      <c r="C16" s="56">
        <f>C14*C15</f>
        <v>0</v>
      </c>
      <c r="D16" s="56">
        <f t="shared" ref="D16:G16" si="3">D14*D15</f>
        <v>26.699893200427194</v>
      </c>
      <c r="E16" s="56">
        <f t="shared" si="3"/>
        <v>11.33486032093607</v>
      </c>
      <c r="F16" s="56">
        <f t="shared" si="3"/>
        <v>11.881404948570307</v>
      </c>
      <c r="G16" s="56">
        <f t="shared" si="3"/>
        <v>11.208872592990854</v>
      </c>
      <c r="H16" s="56"/>
      <c r="I16" s="56"/>
      <c r="J16" s="56"/>
      <c r="K16" s="56"/>
      <c r="L16" s="56"/>
      <c r="M16" s="57">
        <f>SUM(B16:L16)</f>
        <v>211.12503106292442</v>
      </c>
      <c r="O16" s="39"/>
      <c r="Q16" s="40"/>
      <c r="S16" s="41"/>
    </row>
    <row r="17" spans="1:19" ht="14" x14ac:dyDescent="0.3">
      <c r="A17" s="34"/>
      <c r="B17" s="34"/>
      <c r="C17" s="28"/>
      <c r="D17" s="28"/>
      <c r="E17" s="28"/>
      <c r="F17" s="28"/>
      <c r="G17" s="28"/>
      <c r="H17" s="28"/>
      <c r="I17" s="28"/>
      <c r="J17" s="28"/>
      <c r="K17" s="28"/>
      <c r="L17" s="28"/>
      <c r="M17" s="26"/>
      <c r="O17" s="5"/>
      <c r="Q17" s="11"/>
      <c r="S17" s="9"/>
    </row>
    <row r="18" spans="1:19" ht="14" x14ac:dyDescent="0.3">
      <c r="A18" s="35" t="s">
        <v>28</v>
      </c>
      <c r="B18" s="35"/>
      <c r="C18" s="29"/>
      <c r="D18" s="29"/>
      <c r="E18" s="29"/>
      <c r="F18" s="29"/>
      <c r="G18" s="29"/>
      <c r="H18" s="29"/>
      <c r="I18" s="29"/>
      <c r="J18" s="29"/>
      <c r="K18" s="29"/>
      <c r="L18" s="29"/>
      <c r="M18" s="30"/>
      <c r="O18" s="5"/>
      <c r="Q18" s="11"/>
      <c r="S18" s="9"/>
    </row>
    <row r="19" spans="1:19" ht="14" x14ac:dyDescent="0.3">
      <c r="A19" s="34" t="s">
        <v>14</v>
      </c>
      <c r="B19" s="34"/>
      <c r="C19" s="87">
        <v>0.5</v>
      </c>
      <c r="D19" s="87">
        <v>0.5</v>
      </c>
      <c r="E19" s="87">
        <v>1.9</v>
      </c>
      <c r="F19" s="87">
        <v>1.2</v>
      </c>
      <c r="G19" s="87">
        <v>0.43</v>
      </c>
      <c r="H19" s="43"/>
      <c r="I19" s="43"/>
      <c r="J19" s="43"/>
      <c r="K19" s="43"/>
      <c r="L19" s="43"/>
      <c r="M19" s="37">
        <f>SUM(C19:L19)</f>
        <v>4.5299999999999994</v>
      </c>
      <c r="O19" s="5"/>
      <c r="Q19" s="11"/>
      <c r="S19" s="9"/>
    </row>
    <row r="20" spans="1:19" ht="14" x14ac:dyDescent="0.3">
      <c r="A20" s="34" t="s">
        <v>13</v>
      </c>
      <c r="B20" s="34"/>
      <c r="C20" s="87">
        <v>1.5</v>
      </c>
      <c r="D20" s="87">
        <v>0.95</v>
      </c>
      <c r="E20" s="87">
        <v>2.4</v>
      </c>
      <c r="F20" s="87">
        <v>1.7</v>
      </c>
      <c r="G20" s="87">
        <v>0.51</v>
      </c>
      <c r="H20" s="43"/>
      <c r="I20" s="43"/>
      <c r="J20" s="43"/>
      <c r="K20" s="43"/>
      <c r="L20" s="43"/>
      <c r="M20" s="37">
        <f>SUM(C20:L20)</f>
        <v>7.06</v>
      </c>
      <c r="O20" s="5"/>
      <c r="Q20" s="11"/>
      <c r="S20" s="9"/>
    </row>
    <row r="21" spans="1:19" ht="14" x14ac:dyDescent="0.3">
      <c r="A21" s="34" t="s">
        <v>30</v>
      </c>
      <c r="B21" s="34"/>
      <c r="C21" s="88">
        <v>255</v>
      </c>
      <c r="D21" s="88">
        <v>255</v>
      </c>
      <c r="E21" s="88">
        <v>456</v>
      </c>
      <c r="F21" s="88">
        <v>255</v>
      </c>
      <c r="G21" s="88">
        <v>255</v>
      </c>
      <c r="H21" s="44"/>
      <c r="I21" s="44"/>
      <c r="J21" s="44"/>
      <c r="K21" s="44"/>
      <c r="L21" s="44"/>
      <c r="M21" s="30"/>
      <c r="O21" s="5"/>
      <c r="Q21" s="11"/>
      <c r="S21" s="9"/>
    </row>
    <row r="22" spans="1:19" ht="14" x14ac:dyDescent="0.3">
      <c r="A22" s="34" t="s">
        <v>11</v>
      </c>
      <c r="B22" s="34"/>
      <c r="C22" s="29">
        <f>(C20-C19)*C21</f>
        <v>255</v>
      </c>
      <c r="D22" s="29">
        <f t="shared" ref="D22:G22" si="4">(D20-D19)*D21</f>
        <v>114.74999999999999</v>
      </c>
      <c r="E22" s="29">
        <f t="shared" si="4"/>
        <v>228</v>
      </c>
      <c r="F22" s="29">
        <f t="shared" si="4"/>
        <v>127.5</v>
      </c>
      <c r="G22" s="29">
        <f t="shared" si="4"/>
        <v>20.400000000000006</v>
      </c>
      <c r="H22" s="29"/>
      <c r="I22" s="29"/>
      <c r="J22" s="29"/>
      <c r="K22" s="29"/>
      <c r="L22" s="29"/>
      <c r="M22" s="48">
        <f>SUM(C22:L22)</f>
        <v>745.65</v>
      </c>
      <c r="O22" s="5"/>
      <c r="Q22" s="11"/>
      <c r="S22" s="9"/>
    </row>
    <row r="23" spans="1:19" ht="14" x14ac:dyDescent="0.3">
      <c r="A23" s="34"/>
      <c r="B23" s="34"/>
      <c r="C23" s="45"/>
      <c r="D23" s="45"/>
      <c r="E23" s="45"/>
      <c r="F23" s="45"/>
      <c r="G23" s="45"/>
      <c r="H23" s="45"/>
      <c r="I23" s="45"/>
      <c r="J23" s="45"/>
      <c r="K23" s="45"/>
      <c r="L23" s="45"/>
      <c r="M23" s="46"/>
      <c r="O23" s="5"/>
      <c r="Q23" s="11"/>
      <c r="S23" s="9"/>
    </row>
    <row r="24" spans="1:19" s="38" customFormat="1" ht="14" x14ac:dyDescent="0.3">
      <c r="A24" s="36" t="s">
        <v>26</v>
      </c>
      <c r="B24" s="36"/>
      <c r="C24" s="47">
        <f>C22*C15</f>
        <v>240.56603773584902</v>
      </c>
      <c r="D24" s="47">
        <f t="shared" ref="D24:G24" si="5">D22*D15</f>
        <v>102.127091491634</v>
      </c>
      <c r="E24" s="47">
        <f t="shared" si="5"/>
        <v>191.43319653136476</v>
      </c>
      <c r="F24" s="47">
        <f>F22*F15</f>
        <v>100.99194206284761</v>
      </c>
      <c r="G24" s="47">
        <f t="shared" si="5"/>
        <v>15.244066726467565</v>
      </c>
      <c r="H24" s="47"/>
      <c r="I24" s="47"/>
      <c r="J24" s="47"/>
      <c r="K24" s="47"/>
      <c r="L24" s="47"/>
      <c r="M24" s="48">
        <f>SUM(C24:L24)</f>
        <v>650.36233454816283</v>
      </c>
      <c r="O24" s="39"/>
      <c r="Q24" s="40"/>
      <c r="S24" s="41"/>
    </row>
    <row r="25" spans="1:19" ht="14" x14ac:dyDescent="0.3">
      <c r="A25" s="1"/>
      <c r="B25" s="1"/>
      <c r="C25" s="28"/>
      <c r="D25" s="28"/>
      <c r="E25" s="28"/>
      <c r="F25" s="28"/>
      <c r="G25" s="28"/>
      <c r="H25" s="28"/>
      <c r="I25" s="28"/>
      <c r="J25" s="28"/>
      <c r="K25" s="28"/>
      <c r="L25" s="28"/>
      <c r="M25" s="30"/>
      <c r="O25" s="5"/>
      <c r="S25" s="9"/>
    </row>
    <row r="26" spans="1:19" ht="14" x14ac:dyDescent="0.3">
      <c r="A26" s="13" t="s">
        <v>8</v>
      </c>
      <c r="B26" s="13"/>
      <c r="C26" s="31"/>
      <c r="D26" s="31"/>
      <c r="E26" s="31"/>
      <c r="F26" s="31"/>
      <c r="G26" s="31"/>
      <c r="H26" s="31"/>
      <c r="I26" s="31"/>
      <c r="J26" s="31"/>
      <c r="K26" s="31"/>
      <c r="L26" s="31"/>
      <c r="M26" s="10"/>
      <c r="O26" s="5"/>
      <c r="R26" s="11"/>
    </row>
    <row r="27" spans="1:19" s="54" customFormat="1" ht="14" x14ac:dyDescent="0.3">
      <c r="A27" s="1" t="s">
        <v>7</v>
      </c>
      <c r="B27" s="32">
        <f>B22-B14</f>
        <v>-150</v>
      </c>
      <c r="C27" s="32">
        <f>C22-C14</f>
        <v>255</v>
      </c>
      <c r="D27" s="32">
        <f t="shared" ref="D27:G27" si="6">D22-D14</f>
        <v>84.749999999999986</v>
      </c>
      <c r="E27" s="32">
        <f t="shared" si="6"/>
        <v>214.5</v>
      </c>
      <c r="F27" s="32">
        <f t="shared" si="6"/>
        <v>112.5</v>
      </c>
      <c r="G27" s="32">
        <f t="shared" si="6"/>
        <v>5.4000000000000057</v>
      </c>
      <c r="H27" s="32"/>
      <c r="I27" s="32"/>
      <c r="J27" s="32"/>
      <c r="K27" s="32"/>
      <c r="L27" s="32"/>
      <c r="M27" s="79">
        <f>SUM(B27:L27)</f>
        <v>522.15</v>
      </c>
      <c r="O27" s="55"/>
      <c r="R27" s="80"/>
    </row>
    <row r="28" spans="1:19" ht="14" x14ac:dyDescent="0.3">
      <c r="A28" s="2" t="s">
        <v>20</v>
      </c>
      <c r="B28" s="32">
        <f>B24-B16</f>
        <v>-150</v>
      </c>
      <c r="C28" s="32">
        <f>C24-C16</f>
        <v>240.56603773584902</v>
      </c>
      <c r="D28" s="32">
        <f t="shared" ref="D28:G28" si="7">D24-D16</f>
        <v>75.427198291206807</v>
      </c>
      <c r="E28" s="32">
        <f t="shared" si="7"/>
        <v>180.0983362104287</v>
      </c>
      <c r="F28" s="32">
        <f t="shared" si="7"/>
        <v>89.110537114277307</v>
      </c>
      <c r="G28" s="32">
        <f t="shared" si="7"/>
        <v>4.0351941334767112</v>
      </c>
      <c r="H28" s="32"/>
      <c r="I28" s="32"/>
      <c r="J28" s="32"/>
      <c r="K28" s="32"/>
      <c r="L28" s="32"/>
      <c r="M28" s="58">
        <f>SUM(B28:L28)</f>
        <v>439.23730348523856</v>
      </c>
      <c r="O28" s="5"/>
      <c r="R28" s="11"/>
    </row>
    <row r="29" spans="1:19" ht="14" x14ac:dyDescent="0.3">
      <c r="A29" s="2" t="s">
        <v>19</v>
      </c>
      <c r="B29" s="32">
        <f>B28</f>
        <v>-150</v>
      </c>
      <c r="C29" s="32">
        <f>B28+C28</f>
        <v>90.566037735849022</v>
      </c>
      <c r="D29" s="32">
        <f>D28+C29</f>
        <v>165.99323602705584</v>
      </c>
      <c r="E29" s="32">
        <f t="shared" ref="E29:G29" si="8">E28+D29</f>
        <v>346.09157223748457</v>
      </c>
      <c r="F29" s="32">
        <f t="shared" si="8"/>
        <v>435.20210935176186</v>
      </c>
      <c r="G29" s="32">
        <f t="shared" si="8"/>
        <v>439.23730348523856</v>
      </c>
      <c r="H29" s="32"/>
      <c r="I29" s="32"/>
      <c r="J29" s="32"/>
      <c r="K29" s="32"/>
      <c r="L29" s="32"/>
      <c r="M29" s="58"/>
      <c r="O29" s="5"/>
      <c r="R29" s="11"/>
    </row>
    <row r="30" spans="1:19" s="54" customFormat="1" ht="14" x14ac:dyDescent="0.3">
      <c r="A30" s="1" t="s">
        <v>17</v>
      </c>
      <c r="B30" s="77">
        <f>(SUM(B22)-SUM(B14:B14))/SUM(B14:B14)</f>
        <v>-1</v>
      </c>
      <c r="C30" s="77">
        <f>(SUM($B$22:C22)-SUM($B$14:C14))/SUM($B$14:C14)</f>
        <v>0.7</v>
      </c>
      <c r="D30" s="77">
        <f>(SUM($B$22:D22)-SUM($B$14:D14))/SUM($B$14:D14)</f>
        <v>1.0541666666666667</v>
      </c>
      <c r="E30" s="77">
        <f>(SUM($B$22:E22)-SUM($B$14:E14))/SUM($B$14:E14)</f>
        <v>2.0891472868217056</v>
      </c>
      <c r="F30" s="77">
        <f>(SUM($B$22:F22)-SUM($B$14:F14))/SUM($B$14:F14)</f>
        <v>2.4784172661870505</v>
      </c>
      <c r="G30" s="77">
        <f>(SUM($B$22:G22)-SUM($B$14:G14))/SUM($B$14:G14)</f>
        <v>2.3362416107382549</v>
      </c>
      <c r="H30" s="77"/>
      <c r="I30" s="77"/>
      <c r="J30" s="77"/>
      <c r="K30" s="77"/>
      <c r="L30" s="77"/>
      <c r="M30" s="78">
        <f>(M22-M14)/M14</f>
        <v>2.3362416107382549</v>
      </c>
    </row>
    <row r="31" spans="1:19" ht="14" x14ac:dyDescent="0.3">
      <c r="A31" s="2" t="s">
        <v>29</v>
      </c>
      <c r="B31" s="20">
        <f>(SUM(B23)-SUM(B15:B15))/SUM(B15:B15)</f>
        <v>-1</v>
      </c>
      <c r="C31" s="20">
        <f>(SUM($B$24:C24)-SUM($B$16:C16))/SUM($B$16:C16)</f>
        <v>0.60377358490566013</v>
      </c>
      <c r="D31" s="20">
        <f>(SUM($B$24:D24)-SUM($B$16:D16))/SUM($B$16:D16)</f>
        <v>0.93940767603505559</v>
      </c>
      <c r="E31" s="20">
        <f>(SUM($B$24:E24)-SUM($B$16:E16))/SUM($B$16:E16)</f>
        <v>1.8405723716289706</v>
      </c>
      <c r="F31" s="20">
        <f>(SUM($B$24:F24)-SUM($B$16:F16))/SUM($B$16:F16)</f>
        <v>2.1769231295889173</v>
      </c>
      <c r="G31" s="20">
        <f>(SUM($B$24:G24)-SUM($B$16:G16))/SUM($B$16:G16)</f>
        <v>2.0804605748255716</v>
      </c>
      <c r="H31" s="20"/>
      <c r="I31" s="20"/>
      <c r="J31" s="20"/>
      <c r="K31" s="20"/>
      <c r="L31" s="20"/>
      <c r="M31" s="59">
        <f>(M24-M16)/M16</f>
        <v>2.0804605748255716</v>
      </c>
    </row>
    <row r="32" spans="1:19" ht="14" x14ac:dyDescent="0.3">
      <c r="A32" s="2" t="s">
        <v>18</v>
      </c>
      <c r="B32" s="20"/>
      <c r="C32" s="20"/>
      <c r="D32" s="20"/>
      <c r="E32" s="20"/>
      <c r="F32" s="20"/>
      <c r="G32" s="20"/>
      <c r="H32" s="20"/>
      <c r="I32" s="20"/>
      <c r="J32" s="20"/>
      <c r="K32" s="20"/>
      <c r="L32" s="20"/>
      <c r="M32" s="19">
        <f>M24/M16</f>
        <v>3.0804605748255716</v>
      </c>
    </row>
    <row r="33" spans="1:15" s="71" customFormat="1" ht="13.9" customHeight="1" x14ac:dyDescent="0.3">
      <c r="A33" s="68" t="s">
        <v>4</v>
      </c>
      <c r="B33" s="68"/>
      <c r="C33" s="69"/>
      <c r="D33" s="69"/>
      <c r="E33" s="69"/>
      <c r="F33" s="69"/>
      <c r="G33" s="69"/>
      <c r="H33" s="69"/>
      <c r="I33" s="69"/>
      <c r="J33" s="69"/>
      <c r="K33" s="69"/>
      <c r="L33" s="69"/>
      <c r="M33" s="70">
        <f>M24-M16</f>
        <v>439.23730348523839</v>
      </c>
      <c r="O33" s="72"/>
    </row>
    <row r="34" spans="1:15" s="74" customFormat="1" ht="19.899999999999999" customHeight="1" x14ac:dyDescent="0.3">
      <c r="A34" s="73" t="s">
        <v>25</v>
      </c>
      <c r="M34" s="75">
        <f>MIRR(B27:L27,N4,N4)</f>
        <v>0.39362413892761272</v>
      </c>
    </row>
    <row r="36" spans="1:15" x14ac:dyDescent="0.25">
      <c r="A36" s="54" t="s">
        <v>23</v>
      </c>
    </row>
    <row r="37" spans="1:15" x14ac:dyDescent="0.25">
      <c r="A37" s="54" t="s">
        <v>46</v>
      </c>
    </row>
    <row r="39" spans="1:15" x14ac:dyDescent="0.25">
      <c r="B39" t="s">
        <v>31</v>
      </c>
      <c r="C39" t="s">
        <v>32</v>
      </c>
      <c r="D39" t="s">
        <v>33</v>
      </c>
      <c r="E39" t="s">
        <v>34</v>
      </c>
      <c r="F39" t="s">
        <v>35</v>
      </c>
      <c r="G39" t="s">
        <v>36</v>
      </c>
    </row>
    <row r="40" spans="1:15" x14ac:dyDescent="0.25">
      <c r="A40" t="s">
        <v>37</v>
      </c>
      <c r="B40" s="76">
        <f>B28</f>
        <v>-150</v>
      </c>
      <c r="C40" s="76">
        <f>C28+B40</f>
        <v>90.566037735849022</v>
      </c>
      <c r="D40" s="76">
        <f>D28+C40</f>
        <v>165.99323602705584</v>
      </c>
      <c r="E40" s="76">
        <f t="shared" ref="E40" si="9">E28+D40</f>
        <v>346.09157223748457</v>
      </c>
      <c r="F40" s="76">
        <f>F28+E40</f>
        <v>435.20210935176186</v>
      </c>
      <c r="G40" s="76">
        <f t="shared" ref="G40" si="10">G28+F40</f>
        <v>439.23730348523856</v>
      </c>
    </row>
  </sheetData>
  <mergeCells count="2">
    <mergeCell ref="A1:N1"/>
    <mergeCell ref="C6:L6"/>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vt:i4>
      </vt:variant>
    </vt:vector>
  </HeadingPairs>
  <TitlesOfParts>
    <vt:vector size="22" baseType="lpstr">
      <vt:lpstr>Return on Investment Analysis</vt:lpstr>
      <vt:lpstr>5 year version</vt:lpstr>
      <vt:lpstr>ouyenM 2017-19</vt:lpstr>
      <vt:lpstr>Yenda rip50 17-19</vt:lpstr>
      <vt:lpstr>Sheet1</vt:lpstr>
      <vt:lpstr>Sheet2</vt:lpstr>
      <vt:lpstr>Bute T rip60 15-17</vt:lpstr>
      <vt:lpstr>ButeB rip30 18-19</vt:lpstr>
      <vt:lpstr>ButeB rip60 18-19</vt:lpstr>
      <vt:lpstr>ButeB rip inc 18-19</vt:lpstr>
      <vt:lpstr>Carwarp  rip30 18-19</vt:lpstr>
      <vt:lpstr>Carwarp rip60 18-19</vt:lpstr>
      <vt:lpstr>Carwarp spade 18-19</vt:lpstr>
      <vt:lpstr>Ouyen spade 2017-18</vt:lpstr>
      <vt:lpstr>Waikerie Rip 30 18-19</vt:lpstr>
      <vt:lpstr>Waikerie Rip 60 18-19</vt:lpstr>
      <vt:lpstr>Murlong rip inc 18-19</vt:lpstr>
      <vt:lpstr>Murlong spade 18-19</vt:lpstr>
      <vt:lpstr>Karoonda NH 2012-17</vt:lpstr>
      <vt:lpstr>Karoonda NH 500 OM</vt:lpstr>
      <vt:lpstr>Karoonda NH spade only</vt:lpstr>
      <vt:lpstr>'Return on Investment Analysis'!Print_Area</vt:lpstr>
    </vt:vector>
  </TitlesOfParts>
  <Company>UNC-Chapel Hill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Caroline LeGarde</dc:creator>
  <cp:lastModifiedBy>Llewellyn, Rick (A&amp;F, Waite Campus)</cp:lastModifiedBy>
  <cp:lastPrinted>2007-04-26T03:11:46Z</cp:lastPrinted>
  <dcterms:created xsi:type="dcterms:W3CDTF">2004-12-14T00:30:24Z</dcterms:created>
  <dcterms:modified xsi:type="dcterms:W3CDTF">2020-02-18T23:51:25Z</dcterms:modified>
</cp:coreProperties>
</file>